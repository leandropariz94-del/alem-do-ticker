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norama Geral 4T25" sheetId="1" r:id="rId5"/>
    <sheet state="visible" name="Dossiê de Insights 4T25" sheetId="2" r:id="rId6"/>
    <sheet state="hidden" name="Panorama Geral_V2" sheetId="3" r:id="rId7"/>
    <sheet state="hidden" name="Dossiê de Insights_V1" sheetId="4" r:id="rId8"/>
    <sheet state="hidden" name="Dossiê de Insights_V3"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Faturamento bruto do cliente projetado para 2026 (Plataformas + Serviços)
Fonte: Pipe Growth</t>
      </text>
    </comment>
    <comment authorId="0" ref="D2">
      <text>
        <t xml:space="preserve">Rentabilidade média dos projetos de serviços desse cliente.
Fonte: Planilha Comercial</t>
      </text>
    </comment>
    <comment authorId="0" ref="K2">
      <text>
        <t xml:space="preserve">O código da ação na bolsa de valores.</t>
      </text>
    </comment>
    <comment authorId="0" ref="L2">
      <text>
        <t xml:space="preserve">O valor da ação deste cliente.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Fonte: https://www.itau.com.br/relacoes-com-investidores/resultados-e-relatorios/central-de-resultados/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Faturamento bruto do cliente projetado para 2026 (Plataformas + Serviços)
Fonte: Pipe Growth</t>
      </text>
    </comment>
    <comment authorId="0" ref="D2">
      <text>
        <t xml:space="preserve">Rentabilidade média dos projetos de serviços desse cliente.
Fonte: Planilha Comercial</t>
      </text>
    </comment>
    <comment authorId="0" ref="L2">
      <text>
        <t xml:space="preserve">O código da ação na bolsa de valores.</t>
      </text>
    </comment>
    <comment authorId="0" ref="M2">
      <text>
        <t xml:space="preserve">O valor da ação deste cliente.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Fonte: https://www.itau.com.br/relacoes-com-investidores/resultados-e-relatorios/central-de-resultados/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Fonte: https://www.itau.com.br/relacoes-com-investidores/resultados-e-relatorios/central-de-resultados/</t>
      </text>
    </comment>
  </commentList>
</comments>
</file>

<file path=xl/sharedStrings.xml><?xml version="1.0" encoding="utf-8"?>
<sst xmlns="http://schemas.openxmlformats.org/spreadsheetml/2006/main" count="296" uniqueCount="143">
  <si>
    <t>Visão DP6</t>
  </si>
  <si>
    <t>Relação com Investidores</t>
  </si>
  <si>
    <t>Performance do Ativo</t>
  </si>
  <si>
    <t>Cliente</t>
  </si>
  <si>
    <t>Escopo e Área de atuação</t>
  </si>
  <si>
    <t>Receita Projetada (DP6)</t>
  </si>
  <si>
    <t>Margem Bruta (DP6)</t>
  </si>
  <si>
    <t>Entregas Relevantes</t>
  </si>
  <si>
    <t>Oportunidades/Riscos</t>
  </si>
  <si>
    <t>Destaque do Período</t>
  </si>
  <si>
    <t>Números que Importam (KPIs de Negócio)</t>
  </si>
  <si>
    <t>Direcionamento Estratégico (Prioridades de Investimento)</t>
  </si>
  <si>
    <t>Vídeo Resumo</t>
  </si>
  <si>
    <t>Ticker</t>
  </si>
  <si>
    <t>Performance</t>
  </si>
  <si>
    <t>Var. (1D)</t>
  </si>
  <si>
    <t>Var. (7D)</t>
  </si>
  <si>
    <t>Var. (30D)</t>
  </si>
  <si>
    <t>Var. (6M)</t>
  </si>
  <si>
    <t>Var. (12M)</t>
  </si>
  <si>
    <t>YTD</t>
  </si>
  <si>
    <t>Itaú</t>
  </si>
  <si>
    <t>O Itaú apresentou um desempenho financeiro histórico em 2025, impulsionado pelo crescimento da carteira de crédito e pelo avanço das ações de eficiência. 
A gestão adota um tom otimista, destacando os lucros recordes e a máxima histórica atingida na satisfação dos clientes, com o NPS consolidado em zona de excelência. 
A forte digitalização refletiu em agilidade no lançamento de produtos e em um ambiente altamente pautado por rentabilidade e centralidade no cliente.</t>
  </si>
  <si>
    <t>Lucro/Resultado Recorrente Gerencial: Atingiu R$12,3 bilhões no 4T25 (46,8 bilhões no acumulado do ano (+13,1% YoY);
Rentabilidade (ROE): O Retorno Recorrente Gerencial sobre o Patrimônio Líquido alcançou 24,4% no consolidado do 4T25 (+1,1 p.p. QoQ);
Carteira de Crédito Total: Cresceu para R$ 1,49 trilhão (+6,3% QoQ e +6,0% YoY);
Índice de Eficiência: Fechou o trimestre em 38,9% no consolidado e atingiu o menor patamar da série histórica no Brasil para um 4T, marcando 36,9%.</t>
  </si>
  <si>
    <t>A instituição tem focado seu capital na unificação e modernização de canais digitais, materializada pelo lançamento do SuperApp, que já conta com 15 milhões de clientes migrados. 
Há também forte priorização em novas propostas comerciais para Pessoa Jurídica (PMEs) através do Itaú Emps e do programa de fidelidade Mais Vantagens.
Em infraestrutura, os investimentos miram a modernização da plataforma tecnológica e o aumento da capacidade de processamento em Nuvem (Cloud).</t>
  </si>
  <si>
    <t>Em5min</t>
  </si>
  <si>
    <t>BVMF:ITUB4</t>
  </si>
  <si>
    <t>Banco Inter</t>
  </si>
  <si>
    <t>O Inter encerrou o ano com resultados históricos, impulsionado por um lucro líquido recorde e ultrapassando a marca de 25 milhões de clientes ativos. 
A diretoria mantém um tom de forte otimismo e foco no longo prazo, destacando a "inovação, disciplina na execução e nosso compromisso com o crescimento sustentável", além de celebrar a recente obtenção da licença bancária nos EUA como uma alavanca estratégica de eficiência.</t>
  </si>
  <si>
    <t>Receita Líquida Total: R$ 2,39 bilhões no trimestre (+30,0% YoY / +10,9% QoQ);
Lucro Líquido: R$374milhões no 4T25 (1,3 bilhão no consolidado de 2025);
Clientes Ativos: 25 milhões (+21,5% YoY / +4,4% QoQ), elevando a taxa de ativação global da plataforma para 58,0%;
Índice de Eficiência: Estável em 45,5% (-2,9 p.p. YoY / +0,3 p.p. QoQ).</t>
  </si>
  <si>
    <t>A empresa direcionará capital e energia para a expansão de sua operação global através da nova licença bancária nos EUA, visando reduzir custos de captação e expandir a oferta de produtos internacionais. 
No ambiente doméstico, os focos de expansão são o portfólio de crédito (com forte aceleração em Consignado Privado e Home Equity), a evolução contínua da experiência integrada no Super App e o fortalecimento do engajamento via programa de recompensas (Inter Loop) para impulsionar as vendas cruzadas.</t>
  </si>
  <si>
    <t>BVMF:INBR32</t>
  </si>
  <si>
    <t>Bradesco</t>
  </si>
  <si>
    <t>O Bradesco apresentou uma rentabilidade avançando de forma gradual e sólida, superando o seu custo de capital no trimestre. 
O tom da gestão é de otimismo e foco em execução, impulsionado pela boa tração comercial, controle da inadimplência e aceleração do seu plano de transformação estrutural.</t>
  </si>
  <si>
    <t>Lucro Líquido Recorrente: R$ 6,5 bilhões no trimestre (crescimento de 5,0% QoQ e 20,6% YoY).
Receitas Totais: R$ 36,1 bilhões no trimestre (aumento de 2,9% QoQ e 9,8% YoY).
ROAE (Rentabilidade): 15,2% no 4T25 (avanço de 0,5 p.p. QoQ e 2,5 p.p. YoY).
Base de Clientes (Varejo Digital): Mais de 19 milhões de clientes estruturados como fully digital.
Índice de Eficiência: 50%</t>
  </si>
  <si>
    <t>O banco confirmou que vai manter massivos investimentos na sua transformação tecnológica ao longo de 2026. 
As frentes prioritárias para alocação de capital e energia englobam a expansão do Varejo Digital, o fortalecimento das frentes de Alta Renda (Prime e Principal) e SMEs (novos apps empresariais), além de forte direcionamento para a modernização das aplicações, aceleração da nuvem e adoção de modelo ágil em escala.</t>
  </si>
  <si>
    <t>BVMF:BBDC4</t>
  </si>
  <si>
    <t>Banco do Brasil</t>
  </si>
  <si>
    <t>O ano de 2025 foi caracterizado por uma postura de resiliência e adaptação devido aos desafios de uma nova regra contábil (Resolução 4.966/21) e ao agravamento da inadimplência no setor do agronegócio. Apesar da queda significativa no lucro anual, a gestão apresenta um tom de otimismo em relação à recuperação registrada no quarto trimestre, focando na disciplina de execução estratégica, controle de despesas e reestruturação da carteira para linhas de melhor risco-retorno.</t>
  </si>
  <si>
    <t>Lucro Líquido Ajustado: R$20,7 bilhões em 2025(5,7 bilhões no 4T25 (+51,7% QoQ).
Margem Financeira Bruta: R$103,1 bilhões em 2025 (+5,4% QoQ).
Carteira de Crédito Expandida: Atingiu R$ 1,3 trilhão no encerramento do ano (+2,5% YoY).
Custo do Crédito: R$ 61,9 bilhões em 2025 (+73,5% YoY), demonstrando o pico de provisionamento exigido no período.
Índice de Eficiência: 26,2%</t>
  </si>
  <si>
    <t>O capital será fortemente direcionado para a aceleração digital e infraestrutura de tecnologia, ampliando as arquiteturas em Cloud e o uso de agentes de Inteligência Artificial. A estratégia física e digital vai se fundir no conceito Fígital (Ponto BB e Hub BB). Outra prioridade robusta de investimentos é a carteira de Negócios ASG, com a meta de alcançar R$ 500 bilhões de saldo até 2030, incluindo fomento intenso à Bioeconomia.</t>
  </si>
  <si>
    <t>BVMF:BBAS3</t>
  </si>
  <si>
    <t>Nubank</t>
  </si>
  <si>
    <t>O Nubank encerrou 2025 com um tom de forte otimismo da gestão, marcando um ano de resultados históricos com trimestre recorde em escala, engajamento e lucratividade. 
A empresa demonstrou excelente saúde financeira, sustentada pela forte alavancagem operacional e gestão de riscos disciplinada, consolidando-se como a maior instituição financeira privada do Brasil em número de clientes.
O cenário atual sinaliza um ponto de inflexão estratégico: a transição de um banco líder na América Latina para uma verdadeira plataforma global de serviços financeiros digitais.</t>
  </si>
  <si>
    <t>Receita Total (4T25): US$ 4,9 bilhões, refletindo um crescimento de 45% YoY.
Lucro Líquido (4T25): US$ 895 milhões, alta de 50% YoY e 13% QoQ, atingindo um ROE (Retorno sobre Patrimônio) recorde de 33%.
Base de Clientes: 131 milhões globalmente, com adição líquida de 17 milhões em 2025 (+15% YoY).
ARPAC (Receita Média Mensal por Cliente Ativo): US$ 15,00, aumento de 27% YoY e 9% QoQ.
Índice de Eficiência: 19,9%</t>
  </si>
  <si>
    <t>Expansão Global: Foco no mercado dos EUA, estabelecendo bases operacionais após a recente aprovação condicional para obtenção de uma licença bancária nacional no país.
Consolidação em Mercados Principais: Absorção da maior parte do capital para aprofundar liderança no Brasil (focando em PMEs e no segmento de alta renda com o Ultravioleta), finalizar a licença bancária no México e escalar a oferta de crédito na Colômbia.
Aceleração Tecnológica: Forte injeção de capital e contratação de talentos para consolidar a Inteligência Artificial como um "superpoder" da empresa, incluindo investimentos robustos em R&amp;D (Pesquisa e Desenvolvimento) e infraestrutura de GPUs.</t>
  </si>
  <si>
    <t>BVMF:ROXO34</t>
  </si>
  <si>
    <t>PagBank</t>
  </si>
  <si>
    <t>A PagBank encerrou o trimestre com uma performance financeira sólida, suportada pela alavancagem operacional de seus serviços bancários e foco na geração de valor para o acionista. 
Apesar de um ambiente macroeconômico desafiador com altas taxas de juros e atividade econômica mais fraca, a gestão demonstrou forte disciplina financeira e controle de custos para proteger a rentabilidade da companhia. 
O tom geral do relatório é de um otimismo cauteloso, preparando as fundações para um novo ciclo de crescimento baseado em eficiência.</t>
  </si>
  <si>
    <t>Receita Total: R$ 3,54 bilhões no 4T25 (+12,4% YoY e +4,0% QoQ).
Lucro Bruto: R$ 2,05 bilhões no 4T25 (+5,9% YoY e +6,8% QoQ).
Lucro Líquido: R$ 678 milhões no 4T25 (+7,4% YoY e +18,6% QoQ).
Volume Total de Pagamentos (TPV): R$ 142,4 bilhões (-2,5% YoY, mas com recuperação de +9,7% QoQ).
Base de Clientes Totais: 34,0 milhões (+2,3% YoY).</t>
  </si>
  <si>
    <t>O foco de capital da empresa continuará na expansão de sua carteira de crédito de forma sustentável, com a ambição de atingir R$ 25 bilhões até o final de 2029 (com foco em linhas de capital de giro). A empresa também buscará impulsionar as verticais do banco digital, aumentando a penetração de investimentos, seguros e o uso da rede PIX no ecossistema. Há um forte foco declarado no aprofundamento das iniciativas de eficiência através do investimento contínuo em tecnologia e dados.</t>
  </si>
  <si>
    <t>BVMF:PAGS34</t>
  </si>
  <si>
    <t>XP Investimentos</t>
  </si>
  <si>
    <t>A XP Inc. encerrou 2025 demonstrando resiliência e atingindo a marca histórica de R$ 1,5 trilhão em Ativos de Clientes (AUC). 
O tom da gestão é de otimismo cauteloso, reconhecendo que o ano foi desafiador para o crescimento de receitas devido à menor atividade de mercado e a um mix de alocação de ativos mais conservador. 
A empresa reforçou seu posicionamento de plataforma de investimentos agnóstica e destacou a rentabilidade consistente, evolução do banco de atacado e o foco no relacionamento de longo prazo através de planejamento financeiro completo.</t>
  </si>
  <si>
    <t>Receita Bruta (2025): R$ 19,4 bilhões (+8% YoY), impulsionada principalmente pela força do segmento de Grandes Empresas e Mercado de Capitais, que saltou 19% YoY.
Lucro Líquido Ajustado (2025): R$ 5,2 bilhões (+15% YoY).
Margem Líquida Ajustada (2025): Forte patamar de 28,3% (aumento de 173 bps YoY).
Base de Clientes Ativos: Atingiu 4,76 milhões de clientes no 4T25 (+2% YoY).
Ativos de Clientes (AUC): Fechou em R$ 1,49 trilhões.</t>
  </si>
  <si>
    <t>Foco intensivo na evolução da plataforma de clientes com alocação de capital e energia em tecnologia, marketing e serviços de banking para elevar a experiência da jornada do investidor.
Fortes investimentos no Banco de Atacado, com planos de expansão agressiva da oferta de Crédito e de soluções focadas no segmento de PMEs (Pequenas e Médias Empresas).
Desenvolvimento contínuo de ecossistema integrado (one-stop-shop), abrangendo lançamentos estruturados para os próximos anos em cartões corporativos, integração de consórcio no planejamento financeiro, introdução de serviços de Criptoativos e fortalecimento de Contas Globais.</t>
  </si>
  <si>
    <t>BVMF:XPBR31</t>
  </si>
  <si>
    <t>Magazine Luiza</t>
  </si>
  <si>
    <t xml:space="preserve">A empresa concluiu seu "Ciclo do Ecossistema" e iniciou uma transição estratégica focada na redefinição do varejo através da Inteligência Artificial. A saúde financeira da companhia demonstrou resiliência com forte geração de caixa e manutenção de lucro líquido positivo, mesmo diante de um cenário macroeconômico desafiador com alta taxa básica de juros (Selic). O tom da gestão é de otimismo tático, com foco em rentabilidade sobre volume a qualquer custo e preparação para voltar a acelerar a expansão de lojas físicas em um eventual ciclo de queda de juros.
</t>
  </si>
  <si>
    <t>Vendas Totais (GMV): Atingiram R$18,2 bilhões no 4T25 (-1,0% YoY). 
O GMV de lojas físicas teve crescimento de 8,7% no 4T25.
Receita Líquida: Registrou R$11,1 bilhões no 4T25 (+1,7% YoY).
EBITDA Ajustado: Alcançou R$867,3 milhões no 4T25 (+3,4% YoY, margem de 7,9%).
Lucro Líquido Ajustado: Apresentou R$124,7 milhões no 4T25 (-42,6% YoY).</t>
  </si>
  <si>
    <t>Redefinição via Inteligência Artificial: Escalar o AI Commerce (Agentic AI) como novo canal principal de crescimento e relacionamento sem fricção via WhatsApp da Lu.
E-commerce como Brand Place: Foco em curadoria e alto nível de serviço, operando com produtos de alto valor percebido e grandes marcas (1P e 3P com fulfillment), evitando o "mar aberto" de produtos de margem negativa.
Vendas em Plataformas Parceiras: Acelerar a venda do estoque próprio (1P) através de parcerias com plataformas como AliExpress para capturar tráfego adicional de forma rentável.
Expansão do Ecossistema e Multicanalidade: Aumentar o cross-sell entre marcas (Magalu, Netshoes, KaBuM!, Época) para a base de 33 milhões de clientes ativos e utilizar a Galeria Magalu como ponto de venda, experiência e retail media.
Aceleração de Lojas Físicas: Retomada da abertura de lojas físicas no segundo semestre, condicionada à queda do custo de capital (juros).</t>
  </si>
  <si>
    <t>BVMF:MGLU3</t>
  </si>
  <si>
    <t>C&amp;A</t>
  </si>
  <si>
    <t>A C&amp;A encerrou 2025 demonstrando uma sólida saúde financeira com um tom de gestão focado em rentabilidade e forte expansão do seu braço financeiro próprio. A Companhia registrou um aumento expressivo no seu lucro na comparação anual, resultado impulsionado pelo crescimento no varejo, pelo avanço do comércio online e pela consolidação e expansão da operação de crédito da C&amp;A Pay.</t>
  </si>
  <si>
    <t>Receita Líquida Consolidada: R$7,98 bilhões (7,63 bilhões em 2024).
Lucro Bruto: R$4,43 bilhões (4,17 bilhões em 2024).
Lucro Líquido: R$ 587milhões (452 milhões em 2024).
Investimento em Publicidade e Promoção: R$193 milhões (179,6 milhões em 2024).</t>
  </si>
  <si>
    <t>Tecnologia e Evolução Digital: A empresa dedicou capital robusto para infraestrutura digital, reportando adições de R$ 143,5 milhões em Sistemas de Informática (ativos intangíveis) durante 2025.
Expansão do Ecossistema Físico-Digital: A C&amp;A expandiu sua presença para 340 lojas físicas (oito a mais que em 2024), totalmente integradas ao comércio online e abastecidas por 3 centros de distribuição.
Serviços Financeiros Próprios: Foco central na expansão do cartão digital C&amp;A Pay, substituindo a antiga carteira legada da parceria com a Bradescard (encerrada definitivamente em 2025) para capturar maior valor do cliente</t>
  </si>
  <si>
    <t>BVMF:CEAB3</t>
  </si>
  <si>
    <t>Relação com Investidores - Destaques para a DP6</t>
  </si>
  <si>
    <t>Categoria</t>
  </si>
  <si>
    <t>Insight Consolidado</t>
  </si>
  <si>
    <t>Eficiência e Performance</t>
  </si>
  <si>
    <t>O banco conseguiu reduzir em 45% o custo de transações únicas, resultado alcançado pelo uso intensivo de dados, analytics e automação de processos. Em paralelo, as despesas corporativas com Tecnologia cresceram 18,2% no ano, justificadas pelo salto no uso da arquitetura de Cloud.</t>
  </si>
  <si>
    <t>Evolução Digital e IA</t>
  </si>
  <si>
    <t>Houve uma expansão de 84% no volume de iniciativas de Inteligência Artificial Generativa e de 34% no uso de modelos de Machine Learning tradicional. O banco deixou explícita sua estratégia de gerar Hiperpersonalização em escala. Foram lançadas novas soluções de IA conversacional voltadas aos clientes, incluindo ativações de Pix no WhatsApp e Inteligência de Investimentos.</t>
  </si>
  <si>
    <t>Ecossistema de Dados</t>
  </si>
  <si>
    <t>A gestão afirmou que o uso de dados já está totalmente integrado ao método de trabalho comercial, buscando sempre a melhor oferta de prateleira por perfil. Novos modelos avançados de Machine Learning foram implementados nas áreas operacionais para o aprimoramento contínuo das rotinas de KYC (Conheça seu Cliente) e classificação antifraude.</t>
  </si>
  <si>
    <t>Dores e Metas Futuras</t>
  </si>
  <si>
    <t>O banco tem como principal meta de curto prazo o aumento da intensidade de relacionamento, engajamento e principalidade dos clientes, combatendo a dispersão através da estratégia do programa One Itaú. Para o ano de 2026, as metas do Guidance estipulam um avanço contínuo: crescimento da carteira de crédito entre 5,5% e 9,5% e aumento das receitas com prestação de serviços entre 5,0% e 9,0%.</t>
  </si>
  <si>
    <t>A empresa declarou que as "melhorias no nosso processo de onboarding e uma jornada de ativação de clientes mais eficiente" estão "acelerando o payback do CAC". Por outro lado, o relatório cita expressamente um "cenário altamente competitivo no segmento Inter Shop e Inter Pag" que "pressionou as margens de serviços", forçando a empresa a focar na redução de cashback e priorizar a rentabilidade.</t>
  </si>
  <si>
    <t>O CEO projetou "avanços contínuos em IA" para os próximos anos. O crescimento do faturamento por cliente (ARPAC) foi diretamente atribuído a iniciativas voltadas para o "aprimoramento da segmentação de clientes, melhoria da experiência do usuário [...] e aproveitamento da hiperpersonalização".</t>
  </si>
  <si>
    <t>O banco destacou o crescimento de 45% YoY do programa de Loyalty (Inter Loop), que atingiu 16,4 milhões de clientes, como sua alavanca de First-Party Data (dados primários) para fortalecer o cross-sell entre verticais. Além disso, cita que as áreas de "inteligência de dados" são responsáveis pela modelagem avançada para mensuração do risco de crédito.</t>
  </si>
  <si>
    <t>Como principal dor operacional, a despesa de Depreciação e Amortização saltou 85% YoY, refletindo grandes investimentos passados na amortização de projetos do Core Banking e Super App. A meta de curto prazo declarada para contornar desafios de cenário é "aumentar a eficiência por meio do incremento da receita, do aumento do ARPAC e da redução de custos".</t>
  </si>
  <si>
    <t>O modelo de atendimento no Varejo Digital já apresenta 40x menos custos diretos e de servir na comparação com modelos tradicionais. A empresa também relatou um aumento de 15,9% no trimestre em investimentos estratégicos, com destaque para as áreas de publicidade, processamento de dados e consultorias voltadas para o marketing. Houve também um ganho de +118% na produtividade de tecnologia no ano de 2025.</t>
  </si>
  <si>
    <t>Adoção massiva de GenAI por meio da consolidação da plataforma proprietária Bridge, que já abrange +500 casos de uso pelo banco. A IA BIA Clientes está integrada ao chat e WhatsApp possuindo 93% de acurácia no atendimento. O banco destacou o uso do Salesforce implementado para todos os gerentes, habilitando um atendimento personalizado em escala e hiperpersonalização omnichannel através de um modelo AI-Powered.</t>
  </si>
  <si>
    <t>Expansão forte da cultura data-driven, evidenciada pela contratação recente de mais de 250 profissionais dedicados exclusivamente para pricing, análise e ciência de dados. Lançamento da ferramenta CuradorIA, focada em extrair insights de conversas (chats) de pessoas físicas para municiar os times de Produto e CX (Customer Experience). Uso ampliado de dados transacionais e machine learning na modernização dos modelos.</t>
  </si>
  <si>
    <t>As despesas operacionais sofrem pressões temporárias como desafio derivado do alto volume de investimentos em transformação que o banco vem executando. Como meta agressiva de crescimento, o banco projeta atingir a marca de 40+ milhões de clientes (correntistas e não correntistas) até o final de 2026 com sua nova proposta de valor para o varejo digital.</t>
  </si>
  <si>
    <t>O banco manteve forte controle de custos com um Índice de Eficiência de 27,7%. O uso de soluções com Inteligência Artificial embarcada já gera uma eficiência e economia de mais de 41 mil horas/mês de trabalho. As frentes do Movimento de Aceleração Digital reduziram o tempo de desenvolvimento de soluções em cerca de 75%.</t>
  </si>
  <si>
    <t>A Plataforma CRM360 foi expandida para 186 unidades, unificando canais e gerando mais de 4 milhões de interações de texto no trimestre (+68% QoQ). Implantação do “Resumo do Cliente” via IA Generativa para apoiar vendas. A Hiperpersonalização de ofertas gerou mais de 120 milhões de contatos efetivos em ações de CRM (+92% QoQ) e uso de modelos de propensão à leitura para enviar e-mails em horários personalizados. O canal WhatsApp BB atuou como concierge digital e viu sua base de clientes crescer +40%.</t>
  </si>
  <si>
    <t>A cultura data-driven do banco segue em alta: o Índice de Maturidade da Governança de Dados cresceu +59% nos últimos dois anos e o Índice de Maturidade Analítica subiu +20% em comparação com 2024. O Centro de Excelência (CoE) em CRM e Marketing Digital foi consolidado para garantir jornadas escaláveis e orientadas a dados. Evolução na integração com o Marketing Cloud, permitindo aos gerentes rastrear o engajamento dos clientes nas campanhas.</t>
  </si>
  <si>
    <t xml:space="preserve">Dores Declaradas: O principal ofensor do negócio e desafio superado em 2025 foi a inadimplência no Agronegócio e o volume recorde de Recuperações Judiciais no setor, exigindo o lançamento do plano tático BB Regulariza Agro. Metas Futuras (2026): O banco projeta retomar o crescimento de forma sustentável (Guidance), estipulando que a Margem Financeira Bruta avance entre 4% e 8%, com a meta de alcançar um Lucro Líquido Ajustado entre R$22 e R$26 bilhões.
</t>
  </si>
  <si>
    <t xml:space="preserve">O modelo sustentou um baixo Custo de Servir Médio Mensal por Cliente Ativo, que permaneceu abaixo da marca de US1,00,fixando−se em US0,80.
O Índice de Eficiência apresentou melhoria e caiu para 19,9%, demonstrando a escalabilidade e alavancagem operacional em que as receitas crescem mais rapidamente que as despesas.
As despesas operacionais ligadas a marketing tiveram um salto natural e programado em função de sazonalidades tradicionais do quarto trimestre.
</t>
  </si>
  <si>
    <t>Lançamento de mais de 100 novos produtos e funcionalidades focados em ampliar o ecossistema, incluindo novos cartões por assinatura, ferramentas de gestão (Caixinhas Turbo) e inovações para menores de 18 anos.
A implementação do nuFormer (modelo fundacional de IA) impactou positivamente a concessão de crédito, resultando em melhoria real na conversão de notificações, venda cruzada (cross-sell) e qualificação do atendimento ao cliente.
Forte adoção tecnológica com o recurso PIX com IA, que ultrapassou a marca de 10 milhões de usuários ativos mensais.
Iniciativas de fidelização continuam avançando atreladas aos programas Nubank+ e Ultravioleta, suportando modelos de resgate de pontos focados em cashback e milhas aéreas sem expiração.</t>
  </si>
  <si>
    <t>A gestão relatou a grande oportunidade de usar First-Party Data (base de dados proprietária de seus 131 milhões de clientes) para reduzir fricções e gerar eficiência substancial de cross-sell, permitindo o lançamento de novas linhas de receitas e produtos com máxima assertividade.</t>
  </si>
  <si>
    <t>Desafios e Atritos: O avanço em produtos de empréstimo com garantia tem esbarrado em complexidades operacionais severas (fricções) ligadas aos processos de portabilidade no sistema financeiro.
Impacto em Custos: É esperada uma pressão de elevação no Índice de Eficiência no curto prazo (próximos 4 a 6 trimestres) oriunda de três grandes frentes de gastos: contratações e infraestrutura para Inteligência Artificial, infraestrutura e compliance para Globalização e custos imobiliários devido a uma nova política de retorno ao trabalho presencial.
Visão (Meta): Construir no longo prazo um modelo de "banqueiro pessoal alimentado por IA no bolso de cada cliente".</t>
  </si>
  <si>
    <t>A empresa apresentou forte alavancagem operacional com redução das despesas operacionais (Non-GAAP) como % da receita (de 26,0% para 22,8%) graças a "investimentos em marketing mais disciplinados" e menor custo de pessoal. Os gastos com Marketing e Publicidade ficaram em R$ 214 milhões (+4,4% YoY), com verba alocada especificamente em iniciativas de aquisição de clientes bancários e fortalecimento de marca.</t>
  </si>
  <si>
    <t>O uso de Inteligência Artificial (IA) ganhou forte relevância nas operações, sendo aplicada em inteligência de vendas, experiência do cliente e processos de risco para melhorar a precisão, velocidade e produtividade. As perdas totais com fraudes e disputas (chargebacks) caíram 8% YoY, graças a ferramentas de prevenção "cada vez mais impulsionadas por processos e uso de IA". Planejam escalar soluções habilitadas por IA, como crédito focado no PIX e produtos de folha de pagamento.</t>
  </si>
  <si>
    <t>A gestão enfatizou o foco em otimizar a eficiência comercial através de uma "abordagem mais direcionada e orientada a valor", suportada por dados e tecnologia. Houve um aumento explícito (+8,0% YoY) nas chamadas "Outras Despesas", justificado pela alta no consumo de serviços de software, cloud e tecnologias de experiência do cliente (CX). Forte métrica de fidelização pelo uso digital: a empresa relata o sucesso do engajamento de usuários a partir do aumento dos acessos ao App e do uso das funcionalidades financeiras no canal digital.</t>
  </si>
  <si>
    <t>Dores: Enfrentaram desafios significativos com o cenário macroeconômico, onde as taxas de juros (Selic batendo até 15%) elevaram fortemente os custos financeiros de aquisição (funding), além de uma atividade econômica retraída que contraiu o volume de transações em adquirência (TPV) no comparativo anual. Metas 2026: O guidance oficial prevê um crescimento do Lucro Bruto entre 6% e 9% e o crescimento do EPS (Lucro por Ação) entre 9% e 13%. Metas Longo Prazo (2029): Projetam um CAGR de &gt;10% no Lucro Bruto e &gt;16% no EPS entre 2025 e 2029.</t>
  </si>
  <si>
    <t>A empresa manteve rígido controle operacional, estabilizando seu Índice de Eficiência em 34,7% (LTM). O Índice de Remuneração foi reduzido para 23,2%. A liderança declarou ser prioridade o redesign no atendimento do segmento de varejo de entrada com foco em melhoria de eficiência. Nota: Métricas diretas de marketing como CAC ou ROI de mídia não foram detalhadas no relatório.</t>
  </si>
  <si>
    <t>A tecnologia é posicionada como pilar central de produtividade. Há escalada massiva de Inteligência Artificial (IA) na operação: +60% dos colaboradores já utilizam ferramentas de IA diariamente, divididas em +160 iniciativas de IA ativas. A gestão afirmou categoricamente que a IA não substituirá pessoas, mas será um "multiplicador" focado em gerar maior capacidade de personalização nas interações, além de melhor priorização de oportunidades para os assessores.</t>
  </si>
  <si>
    <t>Para sustentar a tese de Cross-Sell via planejamento patrimonial (FinPlan), a XP aprimorou fortemente sua cultura orientada a dados. Atualmente, 30% das alocações de ativos dos assessores são diretamente guiadas por Motores de Recomendação Personalizada (Recommendation Engines) e inteligência de dados para garantir governança e escala.</t>
  </si>
  <si>
    <t>A gestão evidenciou dores claras no segmento de Varejo de Base: pressão por market share frente a concorrentes, acompanhada por compressão de margem e queda nos níveis de satisfação, com o NPS estacionado em 65. A grande meta de longo prazo da companhia é tornar-se a principal plataforma de investimentos do Brasil até 2033.</t>
  </si>
  <si>
    <t xml:space="preserve">A plataforma Magalu Ads obteve crescimento de 54% na receita em 2025. A eficiência de mídia foi comprovada pelo aumento de 7% no ROAS, crescimento de 39% no consumo médio por anunciante e alta de 22% na Taxa de Conversão, impulsionados por inteligência de dados e redução no Custo por Clique (CPC). A companhia também monetiza mídia offline nas lojas através do ecossistema de Ads Multicanal.
</t>
  </si>
  <si>
    <t xml:space="preserve">Evolução Digital e IA: A adoção de GenAI e Agentic AI é o pilar central. O WhatsApp da Lu atingiu 3 milhões de usuários únicos com um NPS de 83 pontos e uma taxa de conversão 3 vezes maior que a busca tradicional no aplicativo. O canal implementou recursos avançados como "Memória Personalizada" e integração com o Agente de IA da Apple.
</t>
  </si>
  <si>
    <t xml:space="preserve">A Magalu Cloud atingiu a marca de 1.200 clientes externos (incluindo a Globo) e já roda 55% dos workloads do próprio Magalu. A empresa adquiriu a Movestax para adicionar serviços de IA na nuvem e planeja lançar produtos focados em inferência de IA no Brasil no segundo semestre, explorando a demanda por soberania de dados e segurança.
</t>
  </si>
  <si>
    <t xml:space="preserve">A principal dor atual é o alto patamar da taxa Selic, que afeta as despesas financeiras e o consumo de bens duráveis. O ambiente online 1P/3P é visto como altamente competitivo e com margens de contribuição negativas ("guerra de preços"), levando a empresa a realizar uma provisão de R$ 299 milhões para acelerar o giro de estoques sazonais ou em excesso. A meta é transformar centros de custo (como a logística Magalog e o Magalu Cloud) em geradores de receita externa para diluir custos operacionais.
</t>
  </si>
  <si>
    <t>O aumento nos gastos com Publicidade e Promoção (R$ 193 milhões) sinaliza a necessidade de otimização contínua de mídia e atração de clientes. Nota: CAC, ROI/ROAS ou margens de lucro específicas por canal digital não foram detalhados no relatório financeiro.</t>
  </si>
  <si>
    <t>A principal inovação na jornada do consumidor foi a consolidação do cartão digital próprio (C&amp;A Pay) para massificar a oferta de crédito diretamente via aplicativo/plataforma da loja. Nota: Uso específico de IA e Hiperpersonalização não detalhados.</t>
  </si>
  <si>
    <t>A operação possui alta dependência de sistemas e infraestrutura de tecnologia de informação (TI) devido ao volume massivo de transações no e-commerce e lojas. A governança corporativa mantém forte atenção na adequação de controles gerais de TI, monitoramento das exigências da LGPD (privacidade de dados) e investimentos em Segurança Cibernética. Na análise de risco de crédito, a empresa relata o uso de ferramentas especializadas e acesso intensivo a bases de dados.</t>
  </si>
  <si>
    <t>A maior dor declarada no balanço é a gestão de inadimplência: as Perdas de Crédito Esperadas (PECLD) da carteira C&amp;A Pay atingiram expressivos R$ 324 milhões. Como desafio futuro e incerteza no ambiente de negócios, a administração declarou estar monitorando de perto os potenciais impactos regulatórios e no consumo derivados da nova Reforma Tributária brasileira.</t>
  </si>
  <si>
    <t>Investimento em Mídia</t>
  </si>
  <si>
    <t>O lucro recorrente gerencial atingiu R$ 12,3 bilhões no 4T25, impulsionando o ROE consolidado para 24,4%</t>
  </si>
  <si>
    <t>IA e dados impulsionam a hiperpersonalização, eficiência e a experiência digital do Itaú.</t>
  </si>
  <si>
    <t>Resultados RI em 5 min</t>
  </si>
  <si>
    <t>*Dash JFBR*</t>
  </si>
  <si>
    <t>Corte de Despesas Administrativas no radar</t>
  </si>
  <si>
    <t>O trimestre celebrou lucro líquido recorde de R$374 milhões e superou a marca de 15,1% de ROE</t>
  </si>
  <si>
    <t>ITAÚ</t>
  </si>
  <si>
    <t>BRADESCO</t>
  </si>
  <si>
    <t>NUBANK</t>
  </si>
  <si>
    <t>PAGBANK</t>
  </si>
  <si>
    <t>DASA</t>
  </si>
  <si>
    <t>Houve um aumento de 84% no volume de iniciativas de Inteligência Artificial Generativa em uso no banco.</t>
  </si>
  <si>
    <t>Ocorreu um aumento de 34% no volume de modelos de machine learning tradicional.</t>
  </si>
  <si>
    <t>O banco destacou a implementação de IA generativa conversacional voltada para os clientes, com casos de uso como Pix no WhatsApp, Inteligência de Investimentos e Itaú Emps.</t>
  </si>
  <si>
    <t>Novos métodos baseados em técnicas de machine learning e modelos de análise de dados estão sendo desenvolvidos para aprimorar a classificação de risco, o monitoramento de transações e processos de Know Your Customer (KYC).</t>
  </si>
  <si>
    <t>O banco atingiu a marca de 15 milhões de clientes já migrados para o novo SuperApp.</t>
  </si>
  <si>
    <t>A penetração dos canais digitais é altíssima: 97% das interações de Pessoas Físicas (PF) e 99% das interações de Pessoas Jurídicas (PJ) ocorrem de forma remota.</t>
  </si>
  <si>
    <t>A velocidade de lançamento de novos produtos aumentou de 4 a 5 vezes, resultando em 12 novos lançamentos recentes no app (como Cofrinhos e Transferência de limites).</t>
  </si>
  <si>
    <t>A estratégia digital do banco foca explicitamente na criação de jornadas "hiperpersonalizadas em escala" para os clientes.</t>
  </si>
  <si>
    <t>O NPS consolidado atingiu sua máxima histórica, impulsionado por recordes nos segmentos de Média e Alta Renda.</t>
  </si>
  <si>
    <t>Lançamentos específicos recentes (Pix no WhatsApp, Cofrinhos, etc.) registraram 80 pontos de satisfação (NPS).</t>
  </si>
  <si>
    <t>O programa "One Itaú" é a principal alavanca de curto prazo em PF para buscar "maior principalidade e engajamento" do cliente.</t>
  </si>
  <si>
    <t>No segmento PJ, o banco lançou o "Mais Vantagens", um programa de relacionamento/fidelidade focado em PMEs, integrado ao app Itaú Empresas, que visa recompensar o uso de produtos.</t>
  </si>
  <si>
    <t>O banco declarou que a utilização de dados está integrada ao seu método de trabalho para garantir a melhor oferta na sua prateleira de produtos.</t>
  </si>
  <si>
    <t>As despesas com tecnologia aumentaram 18,2% no ano de 2025, impacto justificado pelo aumento do volume de processamento em nuvem (cloud) e por maiores gastos com o desenvolvimento de sistemas.</t>
  </si>
  <si>
    <t>Houve um aumento de 2.606% no volume de atualizações tecnológicas (comparando 2025 com 2018).</t>
  </si>
  <si>
    <t>O banco reduziu em 99% os incidentes de alto impacto na experiência do usuário.</t>
  </si>
  <si>
    <t>O custo das transações únicas foi reduzido em 45%, resultado atribuído à automação e ao uso intensivo de dados e analytics na otimização de processos.</t>
  </si>
  <si>
    <t>Inteligência Artificial e Machine Learning</t>
  </si>
  <si>
    <t>Adoção Digital e SuperApp</t>
  </si>
  <si>
    <t>Experiência do Cliente (CX), CRM e Personalização</t>
  </si>
  <si>
    <t>Infraestrutura de Dados, Cloud e Eficiência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</si>
</sst>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R$ -416]#,##0.00"/>
  </numFmts>
  <fonts count="5">
    <font>
      <sz val="10.0"/>
      <color rgb="FF000000"/>
      <name val="Arial"/>
      <scheme val="minor"/>
    </font>
    <font>
      <b/>
      <color rgb="FFFFFFFF"/>
      <name val="Arial"/>
      <scheme val="minor"/>
    </font>
    <font/>
    <font>
      <color theme="1"/>
      <name val="Arial"/>
      <scheme val="minor"/>
    </font>
    <font>
      <u/>
      <color rgb="FF0000FF"/>
    </font>
  </fonts>
  <fills count="4">
    <fill>
      <patternFill patternType="none"/>
    </fill>
    <fill>
      <patternFill patternType="lightGray"/>
    </fill>
    <fill>
      <patternFill patternType="solid">
        <fgColor rgb="FF434343"/>
        <bgColor rgb="FF434343"/>
      </patternFill>
    </fill>
    <fill>
      <patternFill patternType="solid">
        <fgColor rgb="FF666666"/>
        <bgColor rgb="FF666666"/>
      </patternFill>
    </fill>
  </fills>
  <borders count="7">
    <border/>
    <border>
      <bottom style="thin">
        <color rgb="FFFFFFFF"/>
      </bottom>
    </border>
    <border>
      <right style="thin">
        <color rgb="FFFFFFFF"/>
      </right>
      <bottom style="thin">
        <color rgb="FFFFFFFF"/>
      </bottom>
    </border>
    <border>
      <left style="thin">
        <color rgb="FFFFFFFF"/>
      </left>
      <bottom style="thin">
        <color rgb="FFFFFFFF"/>
      </bottom>
    </border>
    <border>
      <left style="thin">
        <color rgb="FFFFFFFF"/>
      </left>
    </border>
    <border>
      <right style="thin">
        <color rgb="FFFFFFFF"/>
      </right>
    </border>
    <border>
      <bottom style="medium">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0" fontId="2" numFmtId="0" xfId="0" applyBorder="1" applyFont="1"/>
    <xf borderId="2" fillId="0" fontId="2" numFmtId="0" xfId="0" applyBorder="1" applyFont="1"/>
    <xf borderId="3" fillId="2" fontId="1" numFmtId="0" xfId="0" applyAlignment="1" applyBorder="1" applyFont="1">
      <alignment horizontal="center" readingOrder="0"/>
    </xf>
    <xf borderId="3" fillId="3" fontId="1" numFmtId="0" xfId="0" applyAlignment="1" applyBorder="1" applyFill="1" applyFont="1">
      <alignment horizontal="center" readingOrder="0"/>
    </xf>
    <xf borderId="0" fillId="2" fontId="1" numFmtId="0" xfId="0" applyAlignment="1" applyFont="1">
      <alignment horizontal="center" readingOrder="0" shrinkToFit="0" vertical="center" wrapText="1"/>
    </xf>
    <xf borderId="4" fillId="2" fontId="1" numFmtId="0" xfId="0" applyAlignment="1" applyBorder="1" applyFont="1">
      <alignment horizontal="center" readingOrder="0" shrinkToFit="0" vertical="center" wrapText="1"/>
    </xf>
    <xf borderId="5" fillId="2" fontId="1" numFmtId="0" xfId="0" applyAlignment="1" applyBorder="1" applyFont="1">
      <alignment horizontal="center" readingOrder="0" shrinkToFit="0" vertical="center" wrapText="1"/>
    </xf>
    <xf borderId="0" fillId="3" fontId="1" numFmtId="0" xfId="0" applyAlignment="1" applyFont="1">
      <alignment horizontal="center" readingOrder="0" shrinkToFit="0" vertical="center" wrapText="1"/>
    </xf>
    <xf borderId="0" fillId="0" fontId="3" numFmtId="0" xfId="0" applyAlignment="1" applyFont="1">
      <alignment horizontal="center" readingOrder="0" vertical="center"/>
    </xf>
    <xf borderId="0" fillId="0" fontId="3" numFmtId="164" xfId="0" applyAlignment="1" applyFont="1" applyNumberFormat="1">
      <alignment horizontal="center" readingOrder="0" vertical="center"/>
    </xf>
    <xf borderId="0" fillId="0" fontId="3" numFmtId="10" xfId="0" applyAlignment="1" applyFont="1" applyNumberFormat="1">
      <alignment horizontal="center" readingOrder="0" vertical="center"/>
    </xf>
    <xf borderId="0" fillId="0" fontId="3" numFmtId="0" xfId="0" applyAlignment="1" applyFont="1">
      <alignment horizontal="center" readingOrder="0" shrinkToFit="0" vertical="center" wrapText="1"/>
    </xf>
    <xf borderId="0" fillId="0" fontId="4" numFmtId="0" xfId="0" applyAlignment="1" applyFont="1">
      <alignment horizontal="center" readingOrder="0" vertical="center"/>
    </xf>
    <xf borderId="0" fillId="0" fontId="3" numFmtId="164" xfId="0" applyAlignment="1" applyFont="1" applyNumberFormat="1">
      <alignment horizontal="center" vertical="center"/>
    </xf>
    <xf borderId="0" fillId="0" fontId="3" numFmtId="10" xfId="0" applyAlignment="1" applyFont="1" applyNumberFormat="1">
      <alignment horizontal="center" vertical="center"/>
    </xf>
    <xf borderId="0" fillId="0" fontId="3" numFmtId="0" xfId="0" applyAlignment="1" applyFont="1">
      <alignment horizontal="center" readingOrder="0" vertical="center"/>
    </xf>
    <xf borderId="4" fillId="2" fontId="1" numFmtId="0" xfId="0" applyAlignment="1" applyBorder="1" applyFont="1">
      <alignment horizontal="center" readingOrder="0"/>
    </xf>
    <xf borderId="0" fillId="2" fontId="1" numFmtId="0" xfId="0" applyAlignment="1" applyFont="1">
      <alignment horizontal="center" readingOrder="0"/>
    </xf>
    <xf borderId="0" fillId="0" fontId="3" numFmtId="0" xfId="0" applyAlignment="1" applyFont="1">
      <alignment horizontal="left" readingOrder="0" shrinkToFit="0" vertical="center" wrapText="1"/>
    </xf>
    <xf borderId="6" fillId="0" fontId="3" numFmtId="0" xfId="0" applyAlignment="1" applyBorder="1" applyFont="1">
      <alignment horizontal="center" readingOrder="0" vertical="center"/>
    </xf>
    <xf borderId="6" fillId="0" fontId="3" numFmtId="0" xfId="0" applyAlignment="1" applyBorder="1" applyFont="1">
      <alignment readingOrder="0" shrinkToFit="0" vertical="center" wrapText="1"/>
    </xf>
    <xf borderId="0" fillId="0" fontId="3" numFmtId="0" xfId="0" applyAlignment="1" applyFont="1">
      <alignment readingOrder="0" shrinkToFit="0" vertical="center" wrapText="1"/>
    </xf>
    <xf borderId="0" fillId="0" fontId="3" numFmtId="10" xfId="0" applyAlignment="1" applyFont="1" applyNumberFormat="1">
      <alignment horizontal="center" readingOrder="0" shrinkToFit="0" vertical="center" wrapText="1"/>
    </xf>
    <xf borderId="0" fillId="0" fontId="3" numFmtId="0" xfId="0" applyAlignment="1" applyFont="1">
      <alignment horizontal="center"/>
    </xf>
    <xf borderId="5" fillId="2" fontId="1" numFmtId="0" xfId="0" applyAlignment="1" applyBorder="1" applyFont="1">
      <alignment horizontal="center" readingOrder="0"/>
    </xf>
    <xf borderId="0" fillId="0" fontId="3" numFmtId="0" xfId="0" applyAlignment="1" applyFont="1">
      <alignment readingOrder="0"/>
    </xf>
  </cellXfs>
  <cellStyles count="1">
    <cellStyle xfId="0" name="Normal" builtinId="0"/>
  </cellStyles>
  <dxfs count="2">
    <dxf>
      <font/>
      <fill>
        <patternFill patternType="solid">
          <fgColor rgb="FFB7E1CD"/>
          <bgColor rgb="FFB7E1CD"/>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gmsDO1KBEcMg0vMTDQOqR5o5giKfDeBZ/view?usp=drive_link" TargetMode="External"/><Relationship Id="rId3" Type="http://schemas.openxmlformats.org/officeDocument/2006/relationships/hyperlink" Target="https://drive.google.com/file/d/1cyw4WJNxSem-y73Y63svqawIJCt1If0g/view?usp=drive_link" TargetMode="External"/><Relationship Id="rId4" Type="http://schemas.openxmlformats.org/officeDocument/2006/relationships/hyperlink" Target="https://drive.google.com/file/d/1Nruw11qJlA7Psf0rfo_cCZFxPPGBq8xc/view?usp=drive_link" TargetMode="External"/><Relationship Id="rId11" Type="http://schemas.openxmlformats.org/officeDocument/2006/relationships/drawing" Target="../drawings/drawing1.xml"/><Relationship Id="rId10" Type="http://schemas.openxmlformats.org/officeDocument/2006/relationships/hyperlink" Target="https://drive.google.com/file/d/1ivkx4Kwz1w2NEF5HC3FeHP-G2jBeSBgh/view?usp=drive_link" TargetMode="External"/><Relationship Id="rId12" Type="http://schemas.openxmlformats.org/officeDocument/2006/relationships/vmlDrawing" Target="../drawings/vmlDrawing1.vml"/><Relationship Id="rId9" Type="http://schemas.openxmlformats.org/officeDocument/2006/relationships/hyperlink" Target="https://drive.google.com/file/d/19rL9gIC0QkscYUwZBdgmKwSsUYwPtLeQ/view?usp=drive_link" TargetMode="External"/><Relationship Id="rId5" Type="http://schemas.openxmlformats.org/officeDocument/2006/relationships/hyperlink" Target="https://drive.google.com/file/d/1d4OuSiRqhsQaIi60U4MSBdhp5MuIKX4b/view?usp=drive_link" TargetMode="External"/><Relationship Id="rId6" Type="http://schemas.openxmlformats.org/officeDocument/2006/relationships/hyperlink" Target="https://drive.google.com/file/d/1tfla5KD60G06aMkYlawoDTX0VlbaVgFP/view?usp=drive_link" TargetMode="External"/><Relationship Id="rId7" Type="http://schemas.openxmlformats.org/officeDocument/2006/relationships/hyperlink" Target="https://drive.google.com/file/d/1ozJCbXiERuebyzpXcG7KNbTbg7QXNAPz/view?usp=drive_link" TargetMode="External"/><Relationship Id="rId8" Type="http://schemas.openxmlformats.org/officeDocument/2006/relationships/hyperlink" Target="https://drive.google.com/file/d/1ZLoLjHBjlbVJkM869dFIvZRGXKKVC8U6/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rive.google.com/file/d/1BohGXT3hPTsaxS1qurk-AgYQXDPYcp3k/view?usp=drive_link" TargetMode="External"/><Relationship Id="rId3" Type="http://schemas.openxmlformats.org/officeDocument/2006/relationships/drawing" Target="../drawings/drawing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1.5"/>
    <col customWidth="1" hidden="1" min="2" max="6" width="21.5"/>
    <col customWidth="1" min="7" max="9" width="39.88"/>
    <col customWidth="1" min="10" max="12" width="21.5"/>
    <col customWidth="1" min="13" max="18" width="8.88"/>
  </cols>
  <sheetData>
    <row r="1">
      <c r="A1" s="1" t="s">
        <v>0</v>
      </c>
      <c r="B1" s="2"/>
      <c r="C1" s="2"/>
      <c r="D1" s="2"/>
      <c r="E1" s="2"/>
      <c r="F1" s="3"/>
      <c r="G1" s="4" t="s">
        <v>1</v>
      </c>
      <c r="H1" s="2"/>
      <c r="I1" s="2"/>
      <c r="J1" s="2"/>
      <c r="K1" s="2"/>
      <c r="L1" s="3"/>
      <c r="M1" s="5" t="s">
        <v>2</v>
      </c>
      <c r="N1" s="2"/>
      <c r="O1" s="2"/>
      <c r="P1" s="2"/>
      <c r="Q1" s="2"/>
      <c r="R1" s="2"/>
    </row>
    <row r="2">
      <c r="A2" s="6" t="s">
        <v>3</v>
      </c>
      <c r="B2" s="6" t="s">
        <v>4</v>
      </c>
      <c r="C2" s="6" t="s">
        <v>5</v>
      </c>
      <c r="D2" s="6" t="s">
        <v>6</v>
      </c>
      <c r="E2" s="6" t="s">
        <v>7</v>
      </c>
      <c r="F2" s="6" t="s">
        <v>8</v>
      </c>
      <c r="G2" s="7" t="s">
        <v>9</v>
      </c>
      <c r="H2" s="6" t="s">
        <v>10</v>
      </c>
      <c r="I2" s="6" t="s">
        <v>11</v>
      </c>
      <c r="J2" s="6" t="s">
        <v>12</v>
      </c>
      <c r="K2" s="6" t="s">
        <v>13</v>
      </c>
      <c r="L2" s="8" t="s">
        <v>14</v>
      </c>
      <c r="M2" s="9" t="s">
        <v>15</v>
      </c>
      <c r="N2" s="9" t="s">
        <v>16</v>
      </c>
      <c r="O2" s="9" t="s">
        <v>17</v>
      </c>
      <c r="P2" s="9" t="s">
        <v>18</v>
      </c>
      <c r="Q2" s="9" t="s">
        <v>19</v>
      </c>
      <c r="R2" s="9" t="s">
        <v>20</v>
      </c>
    </row>
    <row r="3" ht="145.5" customHeight="1">
      <c r="A3" s="10" t="s">
        <v>21</v>
      </c>
      <c r="B3" s="11"/>
      <c r="C3" s="11">
        <v>9411254.0</v>
      </c>
      <c r="D3" s="12">
        <v>0.391</v>
      </c>
      <c r="E3" s="12"/>
      <c r="F3" s="12"/>
      <c r="G3" s="13" t="s">
        <v>22</v>
      </c>
      <c r="H3" s="13" t="s">
        <v>23</v>
      </c>
      <c r="I3" s="13" t="s">
        <v>24</v>
      </c>
      <c r="J3" s="14" t="s">
        <v>25</v>
      </c>
      <c r="K3" s="10" t="s">
        <v>26</v>
      </c>
      <c r="L3" s="15">
        <f>IFERROR(__xludf.DUMMYFUNCTION("GOOGLEFINANCE(K3, ""price"")"),41.2)</f>
        <v>41.2</v>
      </c>
      <c r="M3" s="16">
        <f>IFERROR(__xludf.DUMMYFUNCTION("GOOGLEFINANCE(K3, ""changepct"") / 100"),0.0064)</f>
        <v>0.0064</v>
      </c>
      <c r="N3" s="16">
        <f>IFERROR(__xludf.DUMMYFUNCTION("(GOOGLEFINANCE(K3, ""price"") / INDEX(GOOGLEFINANCE(K3, ""price"", TODAY()-7), 2, 2)) - 1"),0.018541409147095234)</f>
        <v>0.01854140915</v>
      </c>
      <c r="O3" s="16">
        <f>IFERROR(__xludf.DUMMYFUNCTION("(GOOGLEFINANCE(K3, ""price"") / INDEX(GOOGLEFINANCE(K3, ""price"", TODAY()-30), 2, 2)) - 1"),0.02182539682539697)</f>
        <v>0.02182539683</v>
      </c>
      <c r="P3" s="16">
        <f>IFERROR(__xludf.DUMMYFUNCTION("(GOOGLEFINANCE(K3, ""price"") / INDEX(GOOGLEFINANCE(K3, ""price"", TODAY()-180), 2, 2)) - 1"),0.053708439897698135)</f>
        <v>0.0537084399</v>
      </c>
      <c r="Q3" s="16">
        <f>IFERROR(__xludf.DUMMYFUNCTION("(GOOGLEFINANCE(K3, ""price"") / INDEX(GOOGLEFINANCE(K3, ""price"", TODAY()-365), 2, 2)) - 1"),0.16056338028169015)</f>
        <v>0.1605633803</v>
      </c>
      <c r="R3" s="16">
        <f>IFERROR(__xludf.DUMMYFUNCTION("(GOOGLEFINANCE(K3, ""price"") / INDEX(GOOGLEFINANCE(K3, ""price"", DATE(YEAR(TODAY()), 1, 1)), 2, 2)) - 1"),0.0523627075351214)</f>
        <v>0.05236270754</v>
      </c>
    </row>
    <row r="4" ht="145.5" customHeight="1">
      <c r="A4" s="10" t="s">
        <v>27</v>
      </c>
      <c r="B4" s="11"/>
      <c r="C4" s="11"/>
      <c r="D4" s="12"/>
      <c r="E4" s="12"/>
      <c r="F4" s="12"/>
      <c r="G4" s="13" t="s">
        <v>28</v>
      </c>
      <c r="H4" s="13" t="s">
        <v>29</v>
      </c>
      <c r="I4" s="13" t="s">
        <v>30</v>
      </c>
      <c r="J4" s="14" t="s">
        <v>25</v>
      </c>
      <c r="K4" s="10" t="s">
        <v>31</v>
      </c>
      <c r="L4" s="15">
        <f>IFERROR(__xludf.DUMMYFUNCTION("GOOGLEFINANCE(K4, ""price"")"),27.25)</f>
        <v>27.25</v>
      </c>
      <c r="M4" s="16">
        <f>IFERROR(__xludf.DUMMYFUNCTION("GOOGLEFINANCE(K4, ""changepct"") / 100"),-0.0084)</f>
        <v>-0.0084</v>
      </c>
      <c r="N4" s="16">
        <f>IFERROR(__xludf.DUMMYFUNCTION("(GOOGLEFINANCE(K4, ""price"") / INDEX(GOOGLEFINANCE(K4, ""price"", TODAY()-7), 2, 2)) - 1"),-0.06933060109289624)</f>
        <v>-0.06933060109</v>
      </c>
      <c r="O4" s="16">
        <f>IFERROR(__xludf.DUMMYFUNCTION("(GOOGLEFINANCE(K4, ""price"") / INDEX(GOOGLEFINANCE(K4, ""price"", TODAY()-30), 2, 2)) - 1"),-0.14950062421972532)</f>
        <v>-0.1495006242</v>
      </c>
      <c r="P4" s="16">
        <f>IFERROR(__xludf.DUMMYFUNCTION("(GOOGLEFINANCE(K4, ""price"") / INDEX(GOOGLEFINANCE(K4, ""price"", TODAY()-180), 2, 2)) - 1"),-0.41360017215407785)</f>
        <v>-0.4136001722</v>
      </c>
      <c r="Q4" s="16">
        <f>IFERROR(__xludf.DUMMYFUNCTION("(GOOGLEFINANCE(K4, ""price"") / INDEX(GOOGLEFINANCE(K4, ""price"", TODAY()-365), 2, 2)) - 1"),-0.338913148956817)</f>
        <v>-0.338913149</v>
      </c>
      <c r="R4" s="16">
        <f>IFERROR(__xludf.DUMMYFUNCTION("(GOOGLEFINANCE(K4, ""price"") / INDEX(GOOGLEFINANCE(K4, ""price"", DATE(YEAR(TODAY()), 1, 1)), 2, 2)) - 1"),-0.407222101370459)</f>
        <v>-0.4072221014</v>
      </c>
    </row>
    <row r="5" ht="145.5" customHeight="1">
      <c r="A5" s="10" t="s">
        <v>32</v>
      </c>
      <c r="B5" s="11"/>
      <c r="C5" s="11"/>
      <c r="D5" s="12"/>
      <c r="E5" s="12"/>
      <c r="F5" s="12"/>
      <c r="G5" s="13" t="s">
        <v>33</v>
      </c>
      <c r="H5" s="13" t="s">
        <v>34</v>
      </c>
      <c r="I5" s="13" t="s">
        <v>35</v>
      </c>
      <c r="J5" s="14" t="s">
        <v>25</v>
      </c>
      <c r="K5" s="10" t="s">
        <v>36</v>
      </c>
      <c r="L5" s="15">
        <f>IFERROR(__xludf.DUMMYFUNCTION("GOOGLEFINANCE(K5, ""price"")"),17.82)</f>
        <v>17.82</v>
      </c>
      <c r="M5" s="16">
        <f>IFERROR(__xludf.DUMMYFUNCTION("GOOGLEFINANCE(K5, ""changepct"") / 100"),0.0079)</f>
        <v>0.0079</v>
      </c>
      <c r="N5" s="16">
        <f>IFERROR(__xludf.DUMMYFUNCTION("(GOOGLEFINANCE(K5, ""price"") / INDEX(GOOGLEFINANCE(K5, ""price"", TODAY()-7), 2, 2)) - 1"),0.009060022650056565)</f>
        <v>0.00906002265</v>
      </c>
      <c r="O5" s="16">
        <f>IFERROR(__xludf.DUMMYFUNCTION("(GOOGLEFINANCE(K5, ""price"") / INDEX(GOOGLEFINANCE(K5, ""price"", TODAY()-30), 2, 2)) - 1"),-0.013835085777531786)</f>
        <v>-0.01383508578</v>
      </c>
      <c r="P5" s="16">
        <f>IFERROR(__xludf.DUMMYFUNCTION("(GOOGLEFINANCE(K5, ""price"") / INDEX(GOOGLEFINANCE(K5, ""price"", TODAY()-180), 2, 2)) - 1"),-0.031521739130434656)</f>
        <v>-0.03152173913</v>
      </c>
      <c r="Q5" s="16">
        <f>IFERROR(__xludf.DUMMYFUNCTION("(GOOGLEFINANCE(K5, ""price"") / INDEX(GOOGLEFINANCE(K5, ""price"", TODAY()-365), 2, 2)) - 1"),0.08065494238932702)</f>
        <v>0.08065494239</v>
      </c>
      <c r="R5" s="16">
        <f>IFERROR(__xludf.DUMMYFUNCTION("(GOOGLEFINANCE(K5, ""price"") / INDEX(GOOGLEFINANCE(K5, ""price"", DATE(YEAR(TODAY()), 1, 1)), 2, 2)) - 1"),-0.021953896816684915)</f>
        <v>-0.02195389682</v>
      </c>
    </row>
    <row r="6" ht="145.5" customHeight="1">
      <c r="A6" s="10" t="s">
        <v>37</v>
      </c>
      <c r="B6" s="11"/>
      <c r="C6" s="11"/>
      <c r="D6" s="12"/>
      <c r="E6" s="12"/>
      <c r="F6" s="12"/>
      <c r="G6" s="13" t="s">
        <v>38</v>
      </c>
      <c r="H6" s="13" t="s">
        <v>39</v>
      </c>
      <c r="I6" s="13" t="s">
        <v>40</v>
      </c>
      <c r="J6" s="14" t="s">
        <v>25</v>
      </c>
      <c r="K6" s="10" t="s">
        <v>41</v>
      </c>
      <c r="L6" s="15">
        <f>IFERROR(__xludf.DUMMYFUNCTION("GOOGLEFINANCE(K6, ""price"")"),19.75)</f>
        <v>19.75</v>
      </c>
      <c r="M6" s="16">
        <f>IFERROR(__xludf.DUMMYFUNCTION("GOOGLEFINANCE(K6, ""changepct"") / 100"),0.0087)</f>
        <v>0.0087</v>
      </c>
      <c r="N6" s="16">
        <f>IFERROR(__xludf.DUMMYFUNCTION("(GOOGLEFINANCE(K6, ""price"") / INDEX(GOOGLEFINANCE(K6, ""price"", TODAY()-7), 2, 2)) - 1"),0.01804123711340222)</f>
        <v>0.01804123711</v>
      </c>
      <c r="O6" s="16">
        <f>IFERROR(__xludf.DUMMYFUNCTION("(GOOGLEFINANCE(K6, ""price"") / INDEX(GOOGLEFINANCE(K6, ""price"", TODAY()-30), 2, 2)) - 1"),-0.08775981524249421)</f>
        <v>-0.08775981524</v>
      </c>
      <c r="P6" s="16">
        <f>IFERROR(__xludf.DUMMYFUNCTION("(GOOGLEFINANCE(K6, ""price"") / INDEX(GOOGLEFINANCE(K6, ""price"", TODAY()-180), 2, 2)) - 1"),-0.09610983981693366)</f>
        <v>-0.09610983982</v>
      </c>
      <c r="Q6" s="16">
        <f>IFERROR(__xludf.DUMMYFUNCTION("(GOOGLEFINANCE(K6, ""price"") / INDEX(GOOGLEFINANCE(K6, ""price"", TODAY()-365), 2, 2)) - 1"),-0.06353722143195828)</f>
        <v>-0.06353722143</v>
      </c>
      <c r="R6" s="16">
        <f>IFERROR(__xludf.DUMMYFUNCTION("(GOOGLEFINANCE(K6, ""price"") / INDEX(GOOGLEFINANCE(K6, ""price"", DATE(YEAR(TODAY()), 1, 1)), 2, 2)) - 1"),-0.0890221402214022)</f>
        <v>-0.08902214022</v>
      </c>
    </row>
    <row r="7" ht="145.5" customHeight="1">
      <c r="A7" s="10" t="s">
        <v>42</v>
      </c>
      <c r="B7" s="11"/>
      <c r="C7" s="11"/>
      <c r="D7" s="12"/>
      <c r="E7" s="12"/>
      <c r="F7" s="12"/>
      <c r="G7" s="13" t="s">
        <v>43</v>
      </c>
      <c r="H7" s="13" t="s">
        <v>44</v>
      </c>
      <c r="I7" s="13" t="s">
        <v>45</v>
      </c>
      <c r="J7" s="14" t="s">
        <v>25</v>
      </c>
      <c r="K7" s="10" t="s">
        <v>46</v>
      </c>
      <c r="L7" s="15">
        <f>IFERROR(__xludf.DUMMYFUNCTION("GOOGLEFINANCE(K7, ""price"")"),10.91)</f>
        <v>10.91</v>
      </c>
      <c r="M7" s="16">
        <f>IFERROR(__xludf.DUMMYFUNCTION("GOOGLEFINANCE(K7, ""changepct"") / 100"),-0.0127)</f>
        <v>-0.0127</v>
      </c>
      <c r="N7" s="16">
        <f>IFERROR(__xludf.DUMMYFUNCTION("(GOOGLEFINANCE(K7, ""price"") / INDEX(GOOGLEFINANCE(K7, ""price"", TODAY()-7), 2, 2)) - 1"),0.012999071494893322)</f>
        <v>0.01299907149</v>
      </c>
      <c r="O7" s="16">
        <f>IFERROR(__xludf.DUMMYFUNCTION("(GOOGLEFINANCE(K7, ""price"") / INDEX(GOOGLEFINANCE(K7, ""price"", TODAY()-30), 2, 2)) - 1"),-0.009981851179673318)</f>
        <v>-0.00998185118</v>
      </c>
      <c r="P7" s="16">
        <f>IFERROR(__xludf.DUMMYFUNCTION("(GOOGLEFINANCE(K7, ""price"") / INDEX(GOOGLEFINANCE(K7, ""price"", TODAY()-180), 2, 2)) - 1"),-0.29703608247422675)</f>
        <v>-0.2970360825</v>
      </c>
      <c r="Q7" s="16">
        <f>IFERROR(__xludf.DUMMYFUNCTION("(GOOGLEFINANCE(K7, ""price"") / INDEX(GOOGLEFINANCE(K7, ""price"", TODAY()-365), 2, 2)) - 1"),-0.047993019197207776)</f>
        <v>-0.0479930192</v>
      </c>
      <c r="R7" s="16">
        <f>IFERROR(__xludf.DUMMYFUNCTION("(GOOGLEFINANCE(K7, ""price"") / INDEX(GOOGLEFINANCE(K7, ""price"", DATE(YEAR(TODAY()), 1, 1)), 2, 2)) - 1"),-0.29201817001946784)</f>
        <v>-0.29201817</v>
      </c>
    </row>
    <row r="8" ht="145.5" customHeight="1">
      <c r="A8" s="10" t="s">
        <v>47</v>
      </c>
      <c r="B8" s="11"/>
      <c r="C8" s="11"/>
      <c r="D8" s="12"/>
      <c r="E8" s="12"/>
      <c r="F8" s="12"/>
      <c r="G8" s="13" t="s">
        <v>48</v>
      </c>
      <c r="H8" s="13" t="s">
        <v>49</v>
      </c>
      <c r="I8" s="13" t="s">
        <v>50</v>
      </c>
      <c r="J8" s="14" t="s">
        <v>25</v>
      </c>
      <c r="K8" s="10" t="s">
        <v>51</v>
      </c>
      <c r="L8" s="15">
        <f>IFERROR(__xludf.DUMMYFUNCTION("GOOGLEFINANCE(K8, ""price"")"),9.08)</f>
        <v>9.08</v>
      </c>
      <c r="M8" s="16">
        <f>IFERROR(__xludf.DUMMYFUNCTION("GOOGLEFINANCE(K8, ""changepct"") / 100"),-0.0152)</f>
        <v>-0.0152</v>
      </c>
      <c r="N8" s="16">
        <f>IFERROR(__xludf.DUMMYFUNCTION("(GOOGLEFINANCE(K8, ""price"") / INDEX(GOOGLEFINANCE(K8, ""price"", TODAY()-7), 2, 2)) - 1"),-0.01196953210010876)</f>
        <v>-0.0119695321</v>
      </c>
      <c r="O8" s="16">
        <f>IFERROR(__xludf.DUMMYFUNCTION("(GOOGLEFINANCE(K8, ""price"") / INDEX(GOOGLEFINANCE(K8, ""price"", TODAY()-30), 2, 2)) - 1"),-0.03301384451544198)</f>
        <v>-0.03301384452</v>
      </c>
      <c r="P8" s="16">
        <f>IFERROR(__xludf.DUMMYFUNCTION("(GOOGLEFINANCE(K8, ""price"") / INDEX(GOOGLEFINANCE(K8, ""price"", TODAY()-180), 2, 2)) - 1"),-0.15377446411929174)</f>
        <v>-0.1537744641</v>
      </c>
      <c r="Q8" s="16">
        <f>IFERROR(__xludf.DUMMYFUNCTION("(GOOGLEFINANCE(K8, ""price"") / INDEX(GOOGLEFINANCE(K8, ""price"", TODAY()-365), 2, 2)) - 1"),-0.08190091001011124)</f>
        <v>-0.08190091001</v>
      </c>
      <c r="R8" s="16">
        <f>IFERROR(__xludf.DUMMYFUNCTION("(GOOGLEFINANCE(K8, ""price"") / INDEX(GOOGLEFINANCE(K8, ""price"", DATE(YEAR(TODAY()), 1, 1)), 2, 2)) - 1"),-0.1285988483685221)</f>
        <v>-0.1285988484</v>
      </c>
    </row>
    <row r="9" ht="145.5" customHeight="1">
      <c r="A9" s="10" t="s">
        <v>52</v>
      </c>
      <c r="B9" s="11"/>
      <c r="C9" s="11"/>
      <c r="D9" s="12"/>
      <c r="E9" s="12"/>
      <c r="F9" s="12"/>
      <c r="G9" s="13" t="s">
        <v>53</v>
      </c>
      <c r="H9" s="13" t="s">
        <v>54</v>
      </c>
      <c r="I9" s="13" t="s">
        <v>55</v>
      </c>
      <c r="J9" s="14" t="s">
        <v>25</v>
      </c>
      <c r="K9" s="10" t="s">
        <v>56</v>
      </c>
      <c r="L9" s="15">
        <f>IFERROR(__xludf.DUMMYFUNCTION("GOOGLEFINANCE(K9, ""price"")"),81.63)</f>
        <v>81.63</v>
      </c>
      <c r="M9" s="16">
        <f>IFERROR(__xludf.DUMMYFUNCTION("GOOGLEFINANCE(K9, ""changepct"") / 100"),0.0059)</f>
        <v>0.0059</v>
      </c>
      <c r="N9" s="16">
        <f>IFERROR(__xludf.DUMMYFUNCTION("(GOOGLEFINANCE(K9, ""price"") / INDEX(GOOGLEFINANCE(K9, ""price"", TODAY()-7), 2, 2)) - 1"),0.013156261635844713)</f>
        <v>0.01315626164</v>
      </c>
      <c r="O9" s="16">
        <f>IFERROR(__xludf.DUMMYFUNCTION("(GOOGLEFINANCE(K9, ""price"") / INDEX(GOOGLEFINANCE(K9, ""price"", TODAY()-30), 2, 2)) - 1"),-0.061939783957710826)</f>
        <v>-0.06193978396</v>
      </c>
      <c r="P9" s="16">
        <f>IFERROR(__xludf.DUMMYFUNCTION("(GOOGLEFINANCE(K9, ""price"") / INDEX(GOOGLEFINANCE(K9, ""price"", TODAY()-180), 2, 2)) - 1"),-0.10777134113017817)</f>
        <v>-0.1077713411</v>
      </c>
      <c r="Q9" s="16">
        <f>IFERROR(__xludf.DUMMYFUNCTION("(GOOGLEFINANCE(K9, ""price"") / INDEX(GOOGLEFINANCE(K9, ""price"", TODAY()-365), 2, 2)) - 1"),-0.23186223769643366)</f>
        <v>-0.2318622377</v>
      </c>
      <c r="R9" s="16">
        <f>IFERROR(__xludf.DUMMYFUNCTION("(GOOGLEFINANCE(K9, ""price"") / INDEX(GOOGLEFINANCE(K9, ""price"", DATE(YEAR(TODAY()), 1, 1)), 2, 2)) - 1"),-0.07259713701431492)</f>
        <v>-0.07259713701</v>
      </c>
    </row>
    <row r="10" ht="145.5" customHeight="1">
      <c r="A10" s="10" t="s">
        <v>57</v>
      </c>
      <c r="B10" s="11"/>
      <c r="C10" s="11"/>
      <c r="D10" s="12"/>
      <c r="E10" s="12"/>
      <c r="F10" s="12"/>
      <c r="G10" s="13" t="s">
        <v>58</v>
      </c>
      <c r="H10" s="13" t="s">
        <v>59</v>
      </c>
      <c r="I10" s="13" t="s">
        <v>60</v>
      </c>
      <c r="J10" s="14" t="s">
        <v>25</v>
      </c>
      <c r="K10" s="10" t="s">
        <v>61</v>
      </c>
      <c r="L10" s="15">
        <f>IFERROR(__xludf.DUMMYFUNCTION("GOOGLEFINANCE(K10, ""price"")"),4.47)</f>
        <v>4.47</v>
      </c>
      <c r="M10" s="16">
        <f>IFERROR(__xludf.DUMMYFUNCTION("GOOGLEFINANCE(K10, ""changepct"") / 100"),-0.0408)</f>
        <v>-0.0408</v>
      </c>
      <c r="N10" s="16">
        <f>IFERROR(__xludf.DUMMYFUNCTION("(GOOGLEFINANCE(K10, ""price"") / INDEX(GOOGLEFINANCE(K10, ""price"", TODAY()-7), 2, 2)) - 1"),-0.1060000000000001)</f>
        <v>-0.106</v>
      </c>
      <c r="O10" s="16">
        <f>IFERROR(__xludf.DUMMYFUNCTION("(GOOGLEFINANCE(K10, ""price"") / INDEX(GOOGLEFINANCE(K10, ""price"", TODAY()-30), 2, 2)) - 1"),-0.3397341211225997)</f>
        <v>-0.3397341211</v>
      </c>
      <c r="P10" s="16">
        <f>IFERROR(__xludf.DUMMYFUNCTION("(GOOGLEFINANCE(K10, ""price"") / INDEX(GOOGLEFINANCE(K10, ""price"", TODAY()-180), 2, 2)) - 1"),-0.4937712344280861)</f>
        <v>-0.4937712344</v>
      </c>
      <c r="Q10" s="16">
        <f>IFERROR(__xludf.DUMMYFUNCTION("(GOOGLEFINANCE(K10, ""price"") / INDEX(GOOGLEFINANCE(K10, ""price"", TODAY()-365), 2, 2)) - 1"),-0.47349823321554774)</f>
        <v>-0.4734982332</v>
      </c>
      <c r="R10" s="16">
        <f>IFERROR(__xludf.DUMMYFUNCTION("(GOOGLEFINANCE(K10, ""price"") / INDEX(GOOGLEFINANCE(K10, ""price"", DATE(YEAR(TODAY()), 1, 1)), 2, 2)) - 1"),-0.4937712344280861)</f>
        <v>-0.4937712344</v>
      </c>
    </row>
    <row r="11" ht="145.5" customHeight="1">
      <c r="A11" s="10" t="s">
        <v>62</v>
      </c>
      <c r="B11" s="11"/>
      <c r="C11" s="11"/>
      <c r="D11" s="12"/>
      <c r="E11" s="12"/>
      <c r="F11" s="12"/>
      <c r="G11" s="13" t="s">
        <v>63</v>
      </c>
      <c r="H11" s="13" t="s">
        <v>64</v>
      </c>
      <c r="I11" s="13" t="s">
        <v>65</v>
      </c>
      <c r="J11" s="14" t="s">
        <v>25</v>
      </c>
      <c r="K11" s="10" t="s">
        <v>66</v>
      </c>
      <c r="L11" s="15">
        <f>IFERROR(__xludf.DUMMYFUNCTION("GOOGLEFINANCE(K11, ""price"")"),9.78)</f>
        <v>9.78</v>
      </c>
      <c r="M11" s="16">
        <f>IFERROR(__xludf.DUMMYFUNCTION("GOOGLEFINANCE(K11, ""changepct"") / 100"),-0.001)</f>
        <v>-0.001</v>
      </c>
      <c r="N11" s="16">
        <f>IFERROR(__xludf.DUMMYFUNCTION("(GOOGLEFINANCE(K11, ""price"") / INDEX(GOOGLEFINANCE(K11, ""price"", TODAY()-7), 2, 2)) - 1"),-0.05140640155189147)</f>
        <v>-0.05140640155</v>
      </c>
      <c r="O11" s="16">
        <f>IFERROR(__xludf.DUMMYFUNCTION("(GOOGLEFINANCE(K11, ""price"") / INDEX(GOOGLEFINANCE(K11, ""price"", TODAY()-30), 2, 2)) - 1"),-0.18090452261306533)</f>
        <v>-0.1809045226</v>
      </c>
      <c r="P11" s="16">
        <f>IFERROR(__xludf.DUMMYFUNCTION("(GOOGLEFINANCE(K11, ""price"") / INDEX(GOOGLEFINANCE(K11, ""price"", TODAY()-180), 2, 2)) - 1"),-0.2293144208037825)</f>
        <v>-0.2293144208</v>
      </c>
      <c r="Q11" s="16">
        <f>IFERROR(__xludf.DUMMYFUNCTION("(GOOGLEFINANCE(K11, ""price"") / INDEX(GOOGLEFINANCE(K11, ""price"", TODAY()-365), 2, 2)) - 1"),-0.4253819036427733)</f>
        <v>-0.4253819036</v>
      </c>
      <c r="R11" s="16">
        <f>IFERROR(__xludf.DUMMYFUNCTION("(GOOGLEFINANCE(K11, ""price"") / INDEX(GOOGLEFINANCE(K11, ""price"", DATE(YEAR(TODAY()), 1, 1)), 2, 2)) - 1"),-0.2119258662369058)</f>
        <v>-0.2119258662</v>
      </c>
    </row>
    <row r="12" ht="145.5" customHeight="1">
      <c r="A12" s="10"/>
      <c r="B12" s="11"/>
      <c r="C12" s="11"/>
      <c r="D12" s="12"/>
      <c r="E12" s="12"/>
      <c r="F12" s="12"/>
      <c r="G12" s="13"/>
      <c r="H12" s="13"/>
      <c r="I12" s="13"/>
      <c r="J12" s="17"/>
      <c r="K12" s="10"/>
      <c r="L12" s="15"/>
      <c r="M12" s="16"/>
      <c r="N12" s="16"/>
      <c r="O12" s="16"/>
      <c r="P12" s="16"/>
      <c r="Q12" s="16"/>
      <c r="R12" s="16"/>
    </row>
    <row r="13" ht="145.5" customHeight="1">
      <c r="A13" s="10"/>
      <c r="B13" s="11"/>
      <c r="C13" s="11"/>
      <c r="D13" s="12"/>
      <c r="E13" s="12"/>
      <c r="F13" s="12"/>
      <c r="G13" s="13"/>
      <c r="H13" s="13"/>
      <c r="I13" s="13"/>
      <c r="J13" s="17"/>
      <c r="K13" s="10"/>
      <c r="L13" s="15"/>
      <c r="M13" s="16"/>
      <c r="N13" s="16"/>
      <c r="O13" s="16"/>
      <c r="P13" s="16"/>
      <c r="Q13" s="16"/>
      <c r="R13" s="16"/>
    </row>
    <row r="14" ht="145.5" customHeight="1">
      <c r="A14" s="10"/>
      <c r="B14" s="11"/>
      <c r="C14" s="11"/>
      <c r="D14" s="12"/>
      <c r="E14" s="12"/>
      <c r="F14" s="12"/>
      <c r="G14" s="13"/>
      <c r="H14" s="13"/>
      <c r="I14" s="13"/>
      <c r="J14" s="17"/>
      <c r="K14" s="10"/>
      <c r="L14" s="15"/>
      <c r="M14" s="16"/>
      <c r="N14" s="16"/>
      <c r="O14" s="16"/>
      <c r="P14" s="16"/>
      <c r="Q14" s="16"/>
      <c r="R14" s="16"/>
    </row>
    <row r="15" ht="145.5" customHeight="1">
      <c r="A15" s="10"/>
      <c r="B15" s="11"/>
      <c r="C15" s="11"/>
      <c r="D15" s="12"/>
      <c r="E15" s="12"/>
      <c r="F15" s="12"/>
      <c r="G15" s="13"/>
      <c r="H15" s="13"/>
      <c r="I15" s="13"/>
      <c r="J15" s="17"/>
      <c r="K15" s="10"/>
      <c r="L15" s="15"/>
      <c r="M15" s="16"/>
      <c r="N15" s="16"/>
      <c r="O15" s="16"/>
      <c r="P15" s="16"/>
      <c r="Q15" s="16"/>
      <c r="R15" s="16"/>
    </row>
    <row r="16" ht="145.5" customHeight="1">
      <c r="A16" s="10"/>
      <c r="B16" s="11"/>
      <c r="C16" s="11"/>
      <c r="D16" s="12"/>
      <c r="E16" s="12"/>
      <c r="F16" s="12"/>
      <c r="G16" s="13"/>
      <c r="H16" s="13"/>
      <c r="I16" s="13"/>
      <c r="J16" s="17"/>
      <c r="K16" s="10"/>
      <c r="L16" s="15"/>
      <c r="M16" s="16"/>
      <c r="N16" s="16"/>
      <c r="O16" s="16"/>
      <c r="P16" s="16"/>
      <c r="Q16" s="16"/>
      <c r="R16" s="16"/>
    </row>
    <row r="17" ht="145.5" customHeight="1">
      <c r="A17" s="10"/>
      <c r="B17" s="11"/>
      <c r="C17" s="11"/>
      <c r="D17" s="12"/>
      <c r="E17" s="12"/>
      <c r="F17" s="12"/>
      <c r="G17" s="13"/>
      <c r="H17" s="13"/>
      <c r="I17" s="13"/>
      <c r="J17" s="17"/>
      <c r="K17" s="10"/>
      <c r="L17" s="15"/>
      <c r="M17" s="16"/>
      <c r="N17" s="16"/>
      <c r="O17" s="16"/>
      <c r="P17" s="16"/>
      <c r="Q17" s="16"/>
      <c r="R17" s="16"/>
    </row>
    <row r="18" ht="145.5" customHeight="1">
      <c r="A18" s="10"/>
      <c r="B18" s="11"/>
      <c r="C18" s="11"/>
      <c r="D18" s="12"/>
      <c r="E18" s="12"/>
      <c r="F18" s="12"/>
      <c r="G18" s="13"/>
      <c r="H18" s="13"/>
      <c r="I18" s="13"/>
      <c r="J18" s="17"/>
      <c r="K18" s="10"/>
      <c r="L18" s="15"/>
      <c r="M18" s="16"/>
      <c r="N18" s="16"/>
      <c r="O18" s="16"/>
      <c r="P18" s="16"/>
      <c r="Q18" s="16"/>
      <c r="R18" s="16"/>
    </row>
    <row r="19" ht="145.5" customHeight="1">
      <c r="A19" s="10"/>
      <c r="B19" s="11"/>
      <c r="C19" s="11"/>
      <c r="D19" s="12"/>
      <c r="E19" s="12"/>
      <c r="F19" s="12"/>
      <c r="G19" s="13"/>
      <c r="H19" s="13"/>
      <c r="I19" s="13"/>
      <c r="J19" s="17"/>
      <c r="K19" s="10"/>
      <c r="L19" s="15"/>
      <c r="M19" s="16"/>
      <c r="N19" s="16"/>
      <c r="O19" s="16"/>
      <c r="P19" s="16"/>
      <c r="Q19" s="16"/>
      <c r="R19" s="16"/>
    </row>
  </sheetData>
  <mergeCells count="3">
    <mergeCell ref="A1:F1"/>
    <mergeCell ref="G1:L1"/>
    <mergeCell ref="M1:R1"/>
  </mergeCells>
  <conditionalFormatting sqref="M3:R19">
    <cfRule type="cellIs" dxfId="0" priority="1" operator="greaterThan">
      <formula>"0%"</formula>
    </cfRule>
  </conditionalFormatting>
  <conditionalFormatting sqref="M3:R19">
    <cfRule type="cellIs" dxfId="1" priority="2" operator="lessThan">
      <formula>"0%"</formula>
    </cfRule>
  </conditionalFormatting>
  <dataValidations>
    <dataValidation type="list" allowBlank="1" showErrorMessage="1" sqref="A3:A11">
      <formula1>"Banco do Brasil,Banco Inter,Bradesco,Itaú,Nubank,PagBank,XP Investimentos,C&amp;A,Carrefour,Magazine Luiza,Lojas Marisa,Lojas Renner,Natura,Riachuelo,Whirlpool,DASA,Raia Drogasil,Rede D'or,BRF,Construtora Tenda,Locaweb,Porto Seguro"</formula1>
    </dataValidation>
  </dataValidations>
  <hyperlinks>
    <hyperlink r:id="rId2" ref="J3"/>
    <hyperlink r:id="rId3" ref="J4"/>
    <hyperlink r:id="rId4" ref="J5"/>
    <hyperlink r:id="rId5" ref="J6"/>
    <hyperlink r:id="rId6" ref="J7"/>
    <hyperlink r:id="rId7" ref="J8"/>
    <hyperlink r:id="rId8" ref="J9"/>
    <hyperlink r:id="rId9" ref="J10"/>
    <hyperlink r:id="rId10" ref="J11"/>
  </hyperlinks>
  <drawing r:id="rId11"/>
  <legacy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8.88"/>
    <col customWidth="1" min="3" max="3" width="83.13"/>
  </cols>
  <sheetData>
    <row r="1">
      <c r="A1" s="4" t="s">
        <v>67</v>
      </c>
      <c r="B1" s="2"/>
      <c r="C1" s="3"/>
    </row>
    <row r="2">
      <c r="A2" s="18" t="s">
        <v>3</v>
      </c>
      <c r="B2" s="19" t="s">
        <v>68</v>
      </c>
      <c r="C2" s="19" t="s">
        <v>69</v>
      </c>
    </row>
    <row r="3" ht="55.5" customHeight="1">
      <c r="A3" s="10" t="s">
        <v>21</v>
      </c>
      <c r="B3" s="20" t="s">
        <v>70</v>
      </c>
      <c r="C3" s="20" t="s">
        <v>71</v>
      </c>
    </row>
    <row r="4" ht="55.5" customHeight="1">
      <c r="A4" s="10" t="s">
        <v>21</v>
      </c>
      <c r="B4" s="20" t="s">
        <v>72</v>
      </c>
      <c r="C4" s="20" t="s">
        <v>73</v>
      </c>
    </row>
    <row r="5" ht="55.5" customHeight="1">
      <c r="A5" s="10" t="s">
        <v>21</v>
      </c>
      <c r="B5" s="20" t="s">
        <v>74</v>
      </c>
      <c r="C5" s="20" t="s">
        <v>75</v>
      </c>
    </row>
    <row r="6" ht="55.5" customHeight="1">
      <c r="A6" s="21" t="s">
        <v>21</v>
      </c>
      <c r="B6" s="22" t="s">
        <v>76</v>
      </c>
      <c r="C6" s="22" t="s">
        <v>77</v>
      </c>
    </row>
    <row r="7" ht="55.5" customHeight="1">
      <c r="A7" s="10" t="s">
        <v>27</v>
      </c>
      <c r="B7" s="23" t="s">
        <v>70</v>
      </c>
      <c r="C7" s="23" t="s">
        <v>78</v>
      </c>
    </row>
    <row r="8" ht="55.5" customHeight="1">
      <c r="A8" s="10" t="s">
        <v>27</v>
      </c>
      <c r="B8" s="23" t="s">
        <v>72</v>
      </c>
      <c r="C8" s="23" t="s">
        <v>79</v>
      </c>
    </row>
    <row r="9" ht="55.5" customHeight="1">
      <c r="A9" s="10" t="s">
        <v>27</v>
      </c>
      <c r="B9" s="23" t="s">
        <v>74</v>
      </c>
      <c r="C9" s="23" t="s">
        <v>80</v>
      </c>
    </row>
    <row r="10" ht="55.5" customHeight="1">
      <c r="A10" s="21" t="s">
        <v>27</v>
      </c>
      <c r="B10" s="22" t="s">
        <v>76</v>
      </c>
      <c r="C10" s="22" t="s">
        <v>81</v>
      </c>
    </row>
    <row r="11" ht="55.5" customHeight="1">
      <c r="A11" s="10" t="s">
        <v>32</v>
      </c>
      <c r="B11" s="23" t="s">
        <v>70</v>
      </c>
      <c r="C11" s="23" t="s">
        <v>82</v>
      </c>
    </row>
    <row r="12" ht="55.5" customHeight="1">
      <c r="A12" s="10" t="s">
        <v>32</v>
      </c>
      <c r="B12" s="23" t="s">
        <v>72</v>
      </c>
      <c r="C12" s="23" t="s">
        <v>83</v>
      </c>
    </row>
    <row r="13" ht="55.5" customHeight="1">
      <c r="A13" s="10" t="s">
        <v>32</v>
      </c>
      <c r="B13" s="23" t="s">
        <v>74</v>
      </c>
      <c r="C13" s="23" t="s">
        <v>84</v>
      </c>
    </row>
    <row r="14" ht="55.5" customHeight="1">
      <c r="A14" s="21" t="s">
        <v>32</v>
      </c>
      <c r="B14" s="22" t="s">
        <v>76</v>
      </c>
      <c r="C14" s="22" t="s">
        <v>85</v>
      </c>
    </row>
    <row r="15" ht="55.5" customHeight="1">
      <c r="A15" s="10" t="s">
        <v>37</v>
      </c>
      <c r="B15" s="23" t="s">
        <v>70</v>
      </c>
      <c r="C15" s="23" t="s">
        <v>86</v>
      </c>
    </row>
    <row r="16" ht="55.5" customHeight="1">
      <c r="A16" s="10" t="s">
        <v>37</v>
      </c>
      <c r="B16" s="23" t="s">
        <v>72</v>
      </c>
      <c r="C16" s="23" t="s">
        <v>87</v>
      </c>
    </row>
    <row r="17" ht="55.5" customHeight="1">
      <c r="A17" s="10" t="s">
        <v>37</v>
      </c>
      <c r="B17" s="23" t="s">
        <v>74</v>
      </c>
      <c r="C17" s="23" t="s">
        <v>88</v>
      </c>
    </row>
    <row r="18" ht="55.5" customHeight="1">
      <c r="A18" s="21" t="s">
        <v>37</v>
      </c>
      <c r="B18" s="22" t="s">
        <v>76</v>
      </c>
      <c r="C18" s="22" t="s">
        <v>89</v>
      </c>
    </row>
    <row r="19" ht="55.5" customHeight="1">
      <c r="A19" s="10" t="s">
        <v>42</v>
      </c>
      <c r="B19" s="23" t="s">
        <v>70</v>
      </c>
      <c r="C19" s="23" t="s">
        <v>90</v>
      </c>
    </row>
    <row r="20" ht="55.5" customHeight="1">
      <c r="A20" s="10" t="s">
        <v>42</v>
      </c>
      <c r="B20" s="23" t="s">
        <v>72</v>
      </c>
      <c r="C20" s="23" t="s">
        <v>91</v>
      </c>
    </row>
    <row r="21" ht="55.5" customHeight="1">
      <c r="A21" s="10" t="s">
        <v>42</v>
      </c>
      <c r="B21" s="23" t="s">
        <v>74</v>
      </c>
      <c r="C21" s="23" t="s">
        <v>92</v>
      </c>
    </row>
    <row r="22" ht="55.5" customHeight="1">
      <c r="A22" s="21" t="s">
        <v>42</v>
      </c>
      <c r="B22" s="22" t="s">
        <v>76</v>
      </c>
      <c r="C22" s="22" t="s">
        <v>93</v>
      </c>
    </row>
    <row r="23" ht="55.5" customHeight="1">
      <c r="A23" s="10" t="s">
        <v>47</v>
      </c>
      <c r="B23" s="23" t="s">
        <v>70</v>
      </c>
      <c r="C23" s="23" t="s">
        <v>94</v>
      </c>
    </row>
    <row r="24" ht="55.5" customHeight="1">
      <c r="A24" s="10" t="s">
        <v>47</v>
      </c>
      <c r="B24" s="23" t="s">
        <v>72</v>
      </c>
      <c r="C24" s="23" t="s">
        <v>95</v>
      </c>
    </row>
    <row r="25" ht="55.5" customHeight="1">
      <c r="A25" s="10" t="s">
        <v>47</v>
      </c>
      <c r="B25" s="23" t="s">
        <v>74</v>
      </c>
      <c r="C25" s="23" t="s">
        <v>96</v>
      </c>
    </row>
    <row r="26" ht="55.5" customHeight="1">
      <c r="A26" s="21" t="s">
        <v>47</v>
      </c>
      <c r="B26" s="22" t="s">
        <v>76</v>
      </c>
      <c r="C26" s="22" t="s">
        <v>97</v>
      </c>
    </row>
    <row r="27" ht="55.5" customHeight="1">
      <c r="A27" s="10" t="s">
        <v>52</v>
      </c>
      <c r="B27" s="23" t="s">
        <v>70</v>
      </c>
      <c r="C27" s="23" t="s">
        <v>98</v>
      </c>
    </row>
    <row r="28" ht="55.5" customHeight="1">
      <c r="A28" s="10" t="s">
        <v>52</v>
      </c>
      <c r="B28" s="23" t="s">
        <v>72</v>
      </c>
      <c r="C28" s="23" t="s">
        <v>99</v>
      </c>
    </row>
    <row r="29" ht="55.5" customHeight="1">
      <c r="A29" s="10" t="s">
        <v>52</v>
      </c>
      <c r="B29" s="23" t="s">
        <v>74</v>
      </c>
      <c r="C29" s="23" t="s">
        <v>100</v>
      </c>
    </row>
    <row r="30" ht="55.5" customHeight="1">
      <c r="A30" s="21" t="s">
        <v>52</v>
      </c>
      <c r="B30" s="22" t="s">
        <v>76</v>
      </c>
      <c r="C30" s="22" t="s">
        <v>101</v>
      </c>
    </row>
    <row r="31" ht="55.5" customHeight="1">
      <c r="A31" s="10" t="s">
        <v>57</v>
      </c>
      <c r="B31" s="23" t="s">
        <v>70</v>
      </c>
      <c r="C31" s="23" t="s">
        <v>102</v>
      </c>
    </row>
    <row r="32" ht="55.5" customHeight="1">
      <c r="A32" s="10" t="s">
        <v>57</v>
      </c>
      <c r="B32" s="23" t="s">
        <v>72</v>
      </c>
      <c r="C32" s="23" t="s">
        <v>103</v>
      </c>
    </row>
    <row r="33" ht="55.5" customHeight="1">
      <c r="A33" s="10" t="s">
        <v>57</v>
      </c>
      <c r="B33" s="23" t="s">
        <v>74</v>
      </c>
      <c r="C33" s="23" t="s">
        <v>104</v>
      </c>
    </row>
    <row r="34" ht="55.5" customHeight="1">
      <c r="A34" s="21" t="s">
        <v>57</v>
      </c>
      <c r="B34" s="22" t="s">
        <v>76</v>
      </c>
      <c r="C34" s="22" t="s">
        <v>105</v>
      </c>
    </row>
    <row r="35" ht="55.5" customHeight="1">
      <c r="A35" s="10" t="s">
        <v>62</v>
      </c>
      <c r="B35" s="23" t="s">
        <v>70</v>
      </c>
      <c r="C35" s="23" t="s">
        <v>106</v>
      </c>
    </row>
    <row r="36" ht="55.5" customHeight="1">
      <c r="A36" s="10" t="s">
        <v>62</v>
      </c>
      <c r="B36" s="23" t="s">
        <v>72</v>
      </c>
      <c r="C36" s="23" t="s">
        <v>107</v>
      </c>
    </row>
    <row r="37" ht="55.5" customHeight="1">
      <c r="A37" s="10" t="s">
        <v>62</v>
      </c>
      <c r="B37" s="23" t="s">
        <v>74</v>
      </c>
      <c r="C37" s="23" t="s">
        <v>108</v>
      </c>
    </row>
    <row r="38" ht="55.5" customHeight="1">
      <c r="A38" s="21" t="s">
        <v>62</v>
      </c>
      <c r="B38" s="22" t="s">
        <v>76</v>
      </c>
      <c r="C38" s="22" t="s">
        <v>109</v>
      </c>
    </row>
    <row r="39" ht="55.5" customHeight="1">
      <c r="A39" s="23"/>
      <c r="B39" s="23"/>
      <c r="C39" s="23"/>
    </row>
    <row r="40" ht="55.5" customHeight="1">
      <c r="A40" s="23"/>
      <c r="B40" s="23"/>
      <c r="C40" s="23"/>
    </row>
    <row r="41" ht="55.5" customHeight="1">
      <c r="A41" s="23"/>
      <c r="B41" s="23"/>
      <c r="C41" s="23"/>
    </row>
  </sheetData>
  <mergeCells count="1">
    <mergeCell ref="A1:C1"/>
  </mergeCells>
  <dataValidations>
    <dataValidation type="list" allowBlank="1" showErrorMessage="1" sqref="A3:A38">
      <formula1>"Banco do Brasil,Banco Inter,Bradesco,Itaú,Nubank,PagBank,XP Investimentos,C&amp;A,Carrefour,Magazine Luiza,Lojas Marisa,Lojas Renner,Natura,Riachuelo,Whirlpool,DASA,Raia Drogasil,Rede D'or,BRF,Construtora Tenda,Locaweb,Porto Seguro"</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3" width="21.5"/>
    <col customWidth="1" min="14" max="19" width="8.88"/>
  </cols>
  <sheetData>
    <row r="1">
      <c r="A1" s="1" t="s">
        <v>0</v>
      </c>
      <c r="B1" s="2"/>
      <c r="C1" s="2"/>
      <c r="D1" s="2"/>
      <c r="E1" s="2"/>
      <c r="F1" s="3"/>
      <c r="G1" s="4" t="s">
        <v>1</v>
      </c>
      <c r="H1" s="2"/>
      <c r="I1" s="2"/>
      <c r="J1" s="2"/>
      <c r="K1" s="2"/>
      <c r="L1" s="2"/>
      <c r="M1" s="3"/>
      <c r="N1" s="5" t="s">
        <v>2</v>
      </c>
      <c r="O1" s="2"/>
      <c r="P1" s="2"/>
      <c r="Q1" s="2"/>
      <c r="R1" s="2"/>
      <c r="S1" s="2"/>
    </row>
    <row r="2">
      <c r="A2" s="6" t="s">
        <v>3</v>
      </c>
      <c r="B2" s="6" t="s">
        <v>4</v>
      </c>
      <c r="C2" s="6" t="s">
        <v>5</v>
      </c>
      <c r="D2" s="6" t="s">
        <v>6</v>
      </c>
      <c r="E2" s="6" t="s">
        <v>7</v>
      </c>
      <c r="F2" s="6" t="s">
        <v>8</v>
      </c>
      <c r="G2" s="7" t="s">
        <v>9</v>
      </c>
      <c r="H2" s="6" t="s">
        <v>10</v>
      </c>
      <c r="I2" s="6" t="s">
        <v>11</v>
      </c>
      <c r="J2" s="6" t="s">
        <v>12</v>
      </c>
      <c r="K2" s="6" t="s">
        <v>110</v>
      </c>
      <c r="L2" s="6" t="s">
        <v>13</v>
      </c>
      <c r="M2" s="8" t="s">
        <v>14</v>
      </c>
      <c r="N2" s="9" t="s">
        <v>15</v>
      </c>
      <c r="O2" s="9" t="s">
        <v>16</v>
      </c>
      <c r="P2" s="9" t="s">
        <v>17</v>
      </c>
      <c r="Q2" s="9" t="s">
        <v>18</v>
      </c>
      <c r="R2" s="9" t="s">
        <v>19</v>
      </c>
      <c r="S2" s="9" t="s">
        <v>20</v>
      </c>
    </row>
    <row r="3" ht="72.0" customHeight="1">
      <c r="A3" s="10" t="s">
        <v>21</v>
      </c>
      <c r="B3" s="11"/>
      <c r="C3" s="11">
        <v>9411254.0</v>
      </c>
      <c r="D3" s="12">
        <v>0.391</v>
      </c>
      <c r="E3" s="12"/>
      <c r="F3" s="12"/>
      <c r="G3" s="13" t="s">
        <v>111</v>
      </c>
      <c r="H3" s="13"/>
      <c r="I3" s="13" t="s">
        <v>112</v>
      </c>
      <c r="J3" s="14" t="s">
        <v>113</v>
      </c>
      <c r="K3" s="10" t="s">
        <v>114</v>
      </c>
      <c r="L3" s="10" t="s">
        <v>26</v>
      </c>
      <c r="M3" s="15">
        <f>IFERROR(__xludf.DUMMYFUNCTION("GOOGLEFINANCE(""BVMF:ITUB4"", ""price"")"),41.2)</f>
        <v>41.2</v>
      </c>
      <c r="N3" s="16">
        <f>IFERROR(__xludf.DUMMYFUNCTION("GOOGLEFINANCE(L3, ""changepct"") / 100"),0.0064)</f>
        <v>0.0064</v>
      </c>
      <c r="O3" s="16">
        <f>IFERROR(__xludf.DUMMYFUNCTION("(GOOGLEFINANCE(L3, ""price"") / INDEX(GOOGLEFINANCE(L3, ""price"", TODAY()-7), 2, 2)) - 1"),0.018541409147095234)</f>
        <v>0.01854140915</v>
      </c>
      <c r="P3" s="16">
        <f>IFERROR(__xludf.DUMMYFUNCTION("(GOOGLEFINANCE(L3, ""price"") / INDEX(GOOGLEFINANCE(L3, ""price"", TODAY()-30), 2, 2)) - 1"),0.02182539682539697)</f>
        <v>0.02182539683</v>
      </c>
      <c r="Q3" s="16">
        <f>IFERROR(__xludf.DUMMYFUNCTION("(GOOGLEFINANCE(L3, ""price"") / INDEX(GOOGLEFINANCE(L3, ""price"", TODAY()-180), 2, 2)) - 1"),0.053708439897698135)</f>
        <v>0.0537084399</v>
      </c>
      <c r="R3" s="16">
        <f>IFERROR(__xludf.DUMMYFUNCTION("(GOOGLEFINANCE(L3, ""price"") / INDEX(GOOGLEFINANCE(L3, ""price"", TODAY()-365), 2, 2)) - 1"),0.16056338028169015)</f>
        <v>0.1605633803</v>
      </c>
      <c r="S3" s="16">
        <f>IFERROR(__xludf.DUMMYFUNCTION("(GOOGLEFINANCE(L3, ""price"") / INDEX(GOOGLEFINANCE(L3, ""price"", DATE(YEAR(TODAY()), 1, 1)), 2, 2)) - 1"),0.0523627075351214)</f>
        <v>0.05236270754</v>
      </c>
    </row>
    <row r="4" ht="72.0" customHeight="1">
      <c r="A4" s="10" t="s">
        <v>27</v>
      </c>
      <c r="B4" s="11"/>
      <c r="C4" s="11"/>
      <c r="D4" s="12"/>
      <c r="E4" s="24"/>
      <c r="F4" s="24" t="s">
        <v>115</v>
      </c>
      <c r="G4" s="13" t="s">
        <v>116</v>
      </c>
      <c r="H4" s="13"/>
      <c r="I4" s="13"/>
      <c r="J4" s="17"/>
      <c r="K4" s="10"/>
      <c r="L4" s="10"/>
      <c r="M4" s="15"/>
      <c r="N4" s="16"/>
      <c r="O4" s="16"/>
      <c r="P4" s="16"/>
      <c r="Q4" s="16"/>
      <c r="R4" s="16"/>
      <c r="S4" s="16"/>
    </row>
    <row r="5" ht="72.0" customHeight="1">
      <c r="A5" s="10"/>
      <c r="B5" s="11"/>
      <c r="C5" s="11"/>
      <c r="D5" s="12"/>
      <c r="E5" s="12"/>
      <c r="F5" s="12"/>
      <c r="G5" s="13"/>
      <c r="H5" s="13"/>
      <c r="I5" s="13"/>
      <c r="J5" s="17"/>
      <c r="K5" s="10"/>
      <c r="L5" s="10"/>
      <c r="M5" s="15"/>
      <c r="N5" s="16"/>
      <c r="O5" s="16"/>
      <c r="P5" s="16"/>
      <c r="Q5" s="16"/>
      <c r="R5" s="16"/>
      <c r="S5" s="16"/>
    </row>
    <row r="6" ht="72.0" customHeight="1">
      <c r="A6" s="10"/>
      <c r="B6" s="11"/>
      <c r="C6" s="11"/>
      <c r="D6" s="12"/>
      <c r="E6" s="12"/>
      <c r="F6" s="12"/>
      <c r="G6" s="13"/>
      <c r="H6" s="13"/>
      <c r="I6" s="13"/>
      <c r="J6" s="17"/>
      <c r="K6" s="10"/>
      <c r="L6" s="10"/>
      <c r="M6" s="15"/>
      <c r="N6" s="16"/>
      <c r="O6" s="16"/>
      <c r="P6" s="16"/>
      <c r="Q6" s="16"/>
      <c r="R6" s="16"/>
      <c r="S6" s="16"/>
    </row>
    <row r="7" ht="72.0" customHeight="1">
      <c r="A7" s="10"/>
      <c r="B7" s="11"/>
      <c r="C7" s="11"/>
      <c r="D7" s="12"/>
      <c r="E7" s="12"/>
      <c r="F7" s="12"/>
      <c r="G7" s="13"/>
      <c r="H7" s="13"/>
      <c r="I7" s="13"/>
      <c r="J7" s="17"/>
      <c r="K7" s="10"/>
      <c r="L7" s="10"/>
      <c r="M7" s="15"/>
      <c r="N7" s="16"/>
      <c r="O7" s="16"/>
      <c r="P7" s="16"/>
      <c r="Q7" s="16"/>
      <c r="R7" s="16"/>
      <c r="S7" s="16"/>
    </row>
    <row r="8" ht="72.0" customHeight="1">
      <c r="A8" s="10"/>
      <c r="B8" s="11"/>
      <c r="C8" s="11"/>
      <c r="D8" s="12"/>
      <c r="E8" s="12"/>
      <c r="F8" s="12"/>
      <c r="G8" s="13"/>
      <c r="H8" s="13"/>
      <c r="I8" s="13"/>
      <c r="J8" s="17"/>
      <c r="K8" s="10"/>
      <c r="L8" s="10"/>
      <c r="M8" s="15"/>
      <c r="N8" s="16"/>
      <c r="O8" s="16"/>
      <c r="P8" s="16"/>
      <c r="Q8" s="16"/>
      <c r="R8" s="16"/>
      <c r="S8" s="16"/>
    </row>
    <row r="9" ht="72.0" customHeight="1">
      <c r="A9" s="10"/>
      <c r="B9" s="11"/>
      <c r="C9" s="11"/>
      <c r="D9" s="12"/>
      <c r="E9" s="12"/>
      <c r="F9" s="12"/>
      <c r="G9" s="13"/>
      <c r="H9" s="13"/>
      <c r="I9" s="13"/>
      <c r="J9" s="17"/>
      <c r="K9" s="10"/>
      <c r="L9" s="10"/>
      <c r="M9" s="15"/>
      <c r="N9" s="16"/>
      <c r="O9" s="16"/>
      <c r="P9" s="16"/>
      <c r="Q9" s="16"/>
      <c r="R9" s="16"/>
      <c r="S9" s="16"/>
    </row>
    <row r="10" ht="72.0" customHeight="1">
      <c r="A10" s="10"/>
      <c r="B10" s="11"/>
      <c r="C10" s="11"/>
      <c r="D10" s="12"/>
      <c r="E10" s="12"/>
      <c r="F10" s="12"/>
      <c r="G10" s="13"/>
      <c r="H10" s="13"/>
      <c r="I10" s="13"/>
      <c r="J10" s="17"/>
      <c r="K10" s="10"/>
      <c r="L10" s="10"/>
      <c r="M10" s="15"/>
      <c r="N10" s="16"/>
      <c r="O10" s="16"/>
      <c r="P10" s="16"/>
      <c r="Q10" s="16"/>
      <c r="R10" s="16"/>
      <c r="S10" s="16"/>
    </row>
    <row r="11" ht="72.0" customHeight="1">
      <c r="A11" s="10"/>
      <c r="B11" s="11"/>
      <c r="C11" s="11"/>
      <c r="D11" s="12"/>
      <c r="E11" s="12"/>
      <c r="F11" s="12"/>
      <c r="G11" s="13"/>
      <c r="H11" s="13"/>
      <c r="I11" s="13"/>
      <c r="J11" s="17"/>
      <c r="K11" s="10"/>
      <c r="L11" s="10"/>
      <c r="M11" s="15"/>
      <c r="N11" s="16"/>
      <c r="O11" s="16"/>
      <c r="P11" s="16"/>
      <c r="Q11" s="16"/>
      <c r="R11" s="16"/>
      <c r="S11" s="16"/>
    </row>
    <row r="12" ht="72.0" customHeight="1">
      <c r="A12" s="10"/>
      <c r="B12" s="25"/>
      <c r="C12" s="25"/>
      <c r="D12" s="25"/>
      <c r="E12" s="25"/>
      <c r="F12" s="25"/>
      <c r="G12" s="25"/>
      <c r="H12" s="25"/>
      <c r="I12" s="25"/>
      <c r="J12" s="25"/>
      <c r="K12" s="25"/>
      <c r="L12" s="25"/>
      <c r="M12" s="25"/>
      <c r="N12" s="25"/>
      <c r="O12" s="25"/>
      <c r="P12" s="25"/>
      <c r="Q12" s="25"/>
      <c r="R12" s="25"/>
      <c r="S12" s="25"/>
    </row>
    <row r="13" ht="72.0" customHeight="1">
      <c r="A13" s="25"/>
      <c r="B13" s="25"/>
      <c r="C13" s="25"/>
      <c r="D13" s="25"/>
      <c r="E13" s="25"/>
      <c r="F13" s="25"/>
      <c r="G13" s="25"/>
      <c r="H13" s="25"/>
      <c r="I13" s="25"/>
      <c r="J13" s="25"/>
      <c r="K13" s="25"/>
      <c r="L13" s="25"/>
      <c r="M13" s="25"/>
      <c r="N13" s="25"/>
      <c r="O13" s="25"/>
      <c r="P13" s="25"/>
      <c r="Q13" s="25"/>
      <c r="R13" s="25"/>
      <c r="S13" s="25"/>
    </row>
    <row r="14" ht="72.0" customHeight="1">
      <c r="A14" s="25"/>
      <c r="B14" s="25"/>
      <c r="C14" s="25"/>
      <c r="D14" s="25"/>
      <c r="E14" s="25"/>
      <c r="F14" s="25"/>
      <c r="G14" s="25"/>
      <c r="H14" s="25"/>
      <c r="I14" s="25"/>
      <c r="J14" s="25"/>
      <c r="K14" s="25"/>
      <c r="L14" s="25"/>
      <c r="M14" s="25"/>
      <c r="N14" s="25"/>
      <c r="O14" s="25"/>
      <c r="P14" s="25"/>
      <c r="Q14" s="25"/>
      <c r="R14" s="25"/>
      <c r="S14" s="25"/>
    </row>
    <row r="15" ht="72.0" customHeight="1">
      <c r="A15" s="25"/>
      <c r="B15" s="25"/>
      <c r="C15" s="25"/>
      <c r="D15" s="25"/>
      <c r="E15" s="25"/>
      <c r="F15" s="25"/>
      <c r="G15" s="25"/>
      <c r="H15" s="25"/>
      <c r="I15" s="25"/>
      <c r="J15" s="25"/>
      <c r="K15" s="25"/>
      <c r="L15" s="25"/>
      <c r="M15" s="25"/>
      <c r="N15" s="25"/>
      <c r="O15" s="25"/>
      <c r="P15" s="25"/>
      <c r="Q15" s="25"/>
      <c r="R15" s="25"/>
      <c r="S15" s="25"/>
    </row>
    <row r="16" ht="72.0" customHeight="1">
      <c r="A16" s="25"/>
      <c r="B16" s="25"/>
      <c r="C16" s="25"/>
      <c r="D16" s="25"/>
      <c r="E16" s="25"/>
      <c r="F16" s="25"/>
      <c r="G16" s="25"/>
      <c r="H16" s="25"/>
      <c r="I16" s="25"/>
      <c r="J16" s="25"/>
      <c r="K16" s="25"/>
      <c r="L16" s="25"/>
      <c r="M16" s="25"/>
      <c r="N16" s="25"/>
      <c r="O16" s="25"/>
      <c r="P16" s="25"/>
      <c r="Q16" s="25"/>
      <c r="R16" s="25"/>
      <c r="S16" s="25"/>
    </row>
    <row r="17" ht="72.0" customHeight="1">
      <c r="A17" s="25"/>
      <c r="B17" s="25"/>
      <c r="C17" s="25"/>
      <c r="D17" s="25"/>
      <c r="E17" s="25"/>
      <c r="F17" s="25"/>
      <c r="G17" s="25"/>
      <c r="H17" s="25"/>
      <c r="I17" s="25"/>
      <c r="J17" s="25"/>
      <c r="K17" s="25"/>
      <c r="L17" s="25"/>
      <c r="M17" s="25"/>
      <c r="N17" s="25"/>
      <c r="O17" s="25"/>
      <c r="P17" s="25"/>
      <c r="Q17" s="25"/>
      <c r="R17" s="25"/>
      <c r="S17" s="25"/>
    </row>
    <row r="18" ht="72.0" customHeight="1">
      <c r="A18" s="25"/>
      <c r="B18" s="25"/>
      <c r="C18" s="25"/>
      <c r="D18" s="25"/>
      <c r="E18" s="25"/>
      <c r="F18" s="25"/>
      <c r="G18" s="25"/>
      <c r="H18" s="25"/>
      <c r="I18" s="25"/>
      <c r="J18" s="25"/>
      <c r="K18" s="25"/>
      <c r="L18" s="25"/>
      <c r="M18" s="25"/>
      <c r="N18" s="25"/>
      <c r="O18" s="25"/>
      <c r="P18" s="25"/>
      <c r="Q18" s="25"/>
      <c r="R18" s="25"/>
      <c r="S18" s="25"/>
    </row>
    <row r="19" ht="72.0" customHeight="1">
      <c r="A19" s="25"/>
      <c r="B19" s="25"/>
      <c r="C19" s="25"/>
      <c r="D19" s="25"/>
      <c r="E19" s="25"/>
      <c r="F19" s="25"/>
      <c r="G19" s="25"/>
      <c r="H19" s="25"/>
      <c r="I19" s="25"/>
      <c r="J19" s="25"/>
      <c r="K19" s="25"/>
      <c r="L19" s="25"/>
      <c r="M19" s="25"/>
      <c r="N19" s="25"/>
      <c r="O19" s="25"/>
      <c r="P19" s="25"/>
      <c r="Q19" s="25"/>
      <c r="R19" s="25"/>
      <c r="S19" s="25"/>
    </row>
    <row r="20" ht="72.0" customHeight="1">
      <c r="A20" s="25"/>
      <c r="B20" s="25"/>
      <c r="C20" s="25"/>
      <c r="D20" s="25"/>
      <c r="E20" s="25"/>
      <c r="F20" s="25"/>
      <c r="G20" s="25"/>
      <c r="H20" s="25"/>
      <c r="I20" s="25"/>
      <c r="J20" s="25"/>
      <c r="K20" s="25"/>
      <c r="L20" s="25"/>
      <c r="M20" s="25"/>
      <c r="N20" s="25"/>
      <c r="O20" s="25"/>
      <c r="P20" s="25"/>
      <c r="Q20" s="25"/>
      <c r="R20" s="25"/>
      <c r="S20" s="25"/>
    </row>
  </sheetData>
  <mergeCells count="3">
    <mergeCell ref="A1:F1"/>
    <mergeCell ref="G1:M1"/>
    <mergeCell ref="N1:S1"/>
  </mergeCells>
  <conditionalFormatting sqref="N3:S11">
    <cfRule type="cellIs" dxfId="0" priority="1" operator="greaterThan">
      <formula>"0%"</formula>
    </cfRule>
  </conditionalFormatting>
  <conditionalFormatting sqref="N3:S11">
    <cfRule type="cellIs" dxfId="1" priority="2" operator="lessThan">
      <formula>"0%"</formula>
    </cfRule>
  </conditionalFormatting>
  <dataValidations>
    <dataValidation type="list" allowBlank="1" showErrorMessage="1" sqref="A3:A12">
      <formula1>"Banco do Brasil,Banco Inter,Bradesco,Itaú,Nubank,PagBank,Stone,XP Investimentos,C&amp;A,Carrefour,Magazine Luiza,Lojas Marisa,Lojas Renner,Natura,Riachuelo,Whirlpool,DASA,Raia Drogasil,Rede D'or,BRF,Construtora Tenda,Locaweb,Porto Seguro"</formula1>
    </dataValidation>
  </dataValidations>
  <hyperlinks>
    <hyperlink r:id="rId2" ref="J3"/>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5" width="43.13"/>
  </cols>
  <sheetData>
    <row r="1">
      <c r="A1" s="4" t="s">
        <v>67</v>
      </c>
      <c r="B1" s="2"/>
      <c r="C1" s="2"/>
      <c r="D1" s="2"/>
      <c r="E1" s="3"/>
    </row>
    <row r="2">
      <c r="A2" s="18" t="s">
        <v>117</v>
      </c>
      <c r="B2" s="19" t="s">
        <v>118</v>
      </c>
      <c r="C2" s="19" t="s">
        <v>119</v>
      </c>
      <c r="D2" s="19" t="s">
        <v>120</v>
      </c>
      <c r="E2" s="26" t="s">
        <v>121</v>
      </c>
    </row>
    <row r="3" ht="68.25" customHeight="1">
      <c r="A3" s="20" t="s">
        <v>122</v>
      </c>
      <c r="B3" s="20"/>
      <c r="C3" s="20"/>
      <c r="D3" s="20"/>
      <c r="E3" s="20"/>
    </row>
    <row r="4" ht="68.25" customHeight="1">
      <c r="A4" s="20" t="s">
        <v>123</v>
      </c>
      <c r="B4" s="20"/>
      <c r="C4" s="20"/>
      <c r="D4" s="20"/>
      <c r="E4" s="20"/>
    </row>
    <row r="5" ht="68.25" customHeight="1">
      <c r="A5" s="20" t="s">
        <v>124</v>
      </c>
      <c r="B5" s="20"/>
      <c r="C5" s="20"/>
      <c r="D5" s="20"/>
      <c r="E5" s="20"/>
    </row>
    <row r="6" ht="68.25" customHeight="1">
      <c r="A6" s="20" t="s">
        <v>125</v>
      </c>
      <c r="B6" s="20"/>
      <c r="C6" s="20"/>
      <c r="D6" s="20"/>
      <c r="E6" s="20"/>
    </row>
    <row r="7" ht="68.25" customHeight="1">
      <c r="A7" s="20" t="s">
        <v>126</v>
      </c>
      <c r="B7" s="20"/>
      <c r="C7" s="20"/>
      <c r="D7" s="20"/>
      <c r="E7" s="20"/>
    </row>
    <row r="8" ht="68.25" customHeight="1">
      <c r="A8" s="20" t="s">
        <v>127</v>
      </c>
      <c r="B8" s="20"/>
      <c r="C8" s="20"/>
      <c r="D8" s="20"/>
      <c r="E8" s="20"/>
    </row>
    <row r="9" ht="68.25" customHeight="1">
      <c r="A9" s="20" t="s">
        <v>128</v>
      </c>
      <c r="B9" s="20"/>
      <c r="C9" s="20"/>
      <c r="D9" s="20"/>
      <c r="E9" s="20"/>
    </row>
    <row r="10" ht="68.25" customHeight="1">
      <c r="A10" s="20" t="s">
        <v>129</v>
      </c>
      <c r="B10" s="20"/>
      <c r="C10" s="20"/>
      <c r="D10" s="20"/>
      <c r="E10" s="20"/>
    </row>
    <row r="11" ht="68.25" customHeight="1">
      <c r="A11" s="20" t="s">
        <v>130</v>
      </c>
      <c r="B11" s="20"/>
      <c r="C11" s="20"/>
      <c r="D11" s="20"/>
      <c r="E11" s="20"/>
    </row>
    <row r="12" ht="68.25" customHeight="1">
      <c r="A12" s="20" t="s">
        <v>131</v>
      </c>
      <c r="B12" s="20"/>
      <c r="C12" s="20"/>
      <c r="D12" s="20"/>
      <c r="E12" s="20"/>
    </row>
    <row r="13" ht="68.25" customHeight="1">
      <c r="A13" s="20" t="s">
        <v>132</v>
      </c>
      <c r="B13" s="20"/>
      <c r="C13" s="20"/>
      <c r="D13" s="20"/>
      <c r="E13" s="20"/>
    </row>
    <row r="14" ht="68.25" customHeight="1">
      <c r="A14" s="20" t="s">
        <v>133</v>
      </c>
      <c r="B14" s="20"/>
      <c r="C14" s="20"/>
      <c r="D14" s="20"/>
      <c r="E14" s="20"/>
    </row>
    <row r="15" ht="68.25" customHeight="1">
      <c r="A15" s="20" t="s">
        <v>134</v>
      </c>
      <c r="B15" s="20"/>
      <c r="C15" s="20"/>
      <c r="D15" s="20"/>
      <c r="E15" s="20"/>
    </row>
    <row r="16" ht="68.25" customHeight="1">
      <c r="A16" s="20" t="s">
        <v>135</v>
      </c>
      <c r="B16" s="20"/>
      <c r="C16" s="20"/>
      <c r="D16" s="20"/>
      <c r="E16" s="20"/>
    </row>
    <row r="17" ht="68.25" customHeight="1">
      <c r="A17" s="20" t="s">
        <v>136</v>
      </c>
      <c r="B17" s="20"/>
      <c r="C17" s="20"/>
      <c r="D17" s="20"/>
      <c r="E17" s="20"/>
    </row>
    <row r="18" ht="68.25" customHeight="1">
      <c r="A18" s="20" t="s">
        <v>137</v>
      </c>
      <c r="B18" s="20"/>
      <c r="C18" s="20"/>
      <c r="D18" s="20"/>
      <c r="E18" s="20"/>
    </row>
    <row r="19" ht="68.25" customHeight="1">
      <c r="A19" s="20" t="s">
        <v>138</v>
      </c>
      <c r="B19" s="20"/>
      <c r="C19" s="20"/>
      <c r="D19" s="20"/>
      <c r="E19" s="20"/>
    </row>
    <row r="20" ht="57.75" customHeight="1">
      <c r="A20" s="20"/>
      <c r="B20" s="20"/>
      <c r="C20" s="20"/>
      <c r="D20" s="20"/>
      <c r="E20" s="20"/>
    </row>
  </sheetData>
  <mergeCells count="1">
    <mergeCell ref="A1:E1"/>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75"/>
    <col customWidth="1" min="2" max="2" width="38.13"/>
    <col customWidth="1" min="3" max="3" width="83.13"/>
  </cols>
  <sheetData>
    <row r="1">
      <c r="A1" s="4" t="s">
        <v>67</v>
      </c>
      <c r="B1" s="2"/>
      <c r="C1" s="3"/>
    </row>
    <row r="2">
      <c r="A2" s="18" t="s">
        <v>3</v>
      </c>
      <c r="B2" s="19" t="s">
        <v>68</v>
      </c>
      <c r="C2" s="19" t="s">
        <v>69</v>
      </c>
    </row>
    <row r="3" ht="33.75" customHeight="1">
      <c r="A3" s="27" t="s">
        <v>21</v>
      </c>
      <c r="B3" s="20" t="s">
        <v>139</v>
      </c>
      <c r="C3" s="20" t="s">
        <v>122</v>
      </c>
    </row>
    <row r="4" ht="33.75" customHeight="1">
      <c r="A4" s="27" t="s">
        <v>21</v>
      </c>
      <c r="B4" s="20" t="s">
        <v>139</v>
      </c>
      <c r="C4" s="20" t="s">
        <v>123</v>
      </c>
    </row>
    <row r="5" ht="33.75" customHeight="1">
      <c r="A5" s="27" t="s">
        <v>21</v>
      </c>
      <c r="B5" s="20" t="s">
        <v>139</v>
      </c>
      <c r="C5" s="20" t="s">
        <v>124</v>
      </c>
    </row>
    <row r="6" ht="33.75" customHeight="1">
      <c r="A6" s="27" t="s">
        <v>21</v>
      </c>
      <c r="B6" s="20" t="s">
        <v>139</v>
      </c>
      <c r="C6" s="20" t="s">
        <v>125</v>
      </c>
    </row>
    <row r="7" ht="33.75" customHeight="1">
      <c r="A7" s="27" t="s">
        <v>21</v>
      </c>
      <c r="B7" s="20" t="s">
        <v>140</v>
      </c>
      <c r="C7" s="20" t="s">
        <v>126</v>
      </c>
    </row>
    <row r="8" ht="33.75" customHeight="1">
      <c r="A8" s="27" t="s">
        <v>21</v>
      </c>
      <c r="B8" s="20" t="s">
        <v>140</v>
      </c>
      <c r="C8" s="20" t="s">
        <v>127</v>
      </c>
    </row>
    <row r="9" ht="33.75" customHeight="1">
      <c r="A9" s="27" t="s">
        <v>21</v>
      </c>
      <c r="B9" s="20" t="s">
        <v>140</v>
      </c>
      <c r="C9" s="20" t="s">
        <v>128</v>
      </c>
    </row>
    <row r="10" ht="33.75" customHeight="1">
      <c r="A10" s="27" t="s">
        <v>21</v>
      </c>
      <c r="B10" s="20" t="s">
        <v>141</v>
      </c>
      <c r="C10" s="20" t="s">
        <v>129</v>
      </c>
    </row>
    <row r="11" ht="33.75" customHeight="1">
      <c r="A11" s="27" t="s">
        <v>21</v>
      </c>
      <c r="B11" s="20" t="s">
        <v>141</v>
      </c>
      <c r="C11" s="20" t="s">
        <v>130</v>
      </c>
    </row>
    <row r="12" ht="33.75" customHeight="1">
      <c r="A12" s="27" t="s">
        <v>21</v>
      </c>
      <c r="B12" s="20" t="s">
        <v>141</v>
      </c>
      <c r="C12" s="20" t="s">
        <v>131</v>
      </c>
    </row>
    <row r="13" ht="33.75" customHeight="1">
      <c r="A13" s="27" t="s">
        <v>21</v>
      </c>
      <c r="B13" s="20" t="s">
        <v>141</v>
      </c>
      <c r="C13" s="20" t="s">
        <v>132</v>
      </c>
    </row>
    <row r="14" ht="33.75" customHeight="1">
      <c r="A14" s="27" t="s">
        <v>21</v>
      </c>
      <c r="B14" s="20" t="s">
        <v>141</v>
      </c>
      <c r="C14" s="20" t="s">
        <v>133</v>
      </c>
    </row>
    <row r="15" ht="33.75" customHeight="1">
      <c r="A15" s="27" t="s">
        <v>21</v>
      </c>
      <c r="B15" s="20" t="s">
        <v>141</v>
      </c>
      <c r="C15" s="20" t="s">
        <v>134</v>
      </c>
    </row>
    <row r="16" ht="33.75" customHeight="1">
      <c r="A16" s="27" t="s">
        <v>21</v>
      </c>
      <c r="B16" s="20" t="s">
        <v>142</v>
      </c>
      <c r="C16" s="20" t="s">
        <v>135</v>
      </c>
    </row>
    <row r="17" ht="33.75" customHeight="1">
      <c r="A17" s="27" t="s">
        <v>21</v>
      </c>
      <c r="B17" s="20" t="s">
        <v>142</v>
      </c>
      <c r="C17" s="20" t="s">
        <v>136</v>
      </c>
    </row>
    <row r="18" ht="33.75" customHeight="1">
      <c r="A18" s="27" t="s">
        <v>21</v>
      </c>
      <c r="B18" s="20" t="s">
        <v>142</v>
      </c>
      <c r="C18" s="20" t="s">
        <v>137</v>
      </c>
    </row>
    <row r="19" ht="33.75" customHeight="1">
      <c r="A19" s="27" t="s">
        <v>21</v>
      </c>
      <c r="B19" s="20" t="s">
        <v>142</v>
      </c>
      <c r="C19" s="20" t="s">
        <v>138</v>
      </c>
    </row>
    <row r="20" ht="33.75" customHeight="1">
      <c r="A20" s="20"/>
      <c r="B20" s="20"/>
      <c r="C20" s="20"/>
    </row>
  </sheetData>
  <mergeCells count="1">
    <mergeCell ref="A1:C1"/>
  </mergeCells>
  <drawing r:id="rId2"/>
  <legacyDrawing r:id="rId3"/>
</worksheet>
</file>